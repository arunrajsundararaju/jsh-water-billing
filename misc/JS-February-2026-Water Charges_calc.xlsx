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SH\2025-2026\Water Charges\12_Mar'26\"/>
    </mc:Choice>
  </mc:AlternateContent>
  <xr:revisionPtr revIDLastSave="0" documentId="13_ncr:1_{E7801C27-A546-4D50-93EC-53ED6A03AEA5}" xr6:coauthVersionLast="47" xr6:coauthVersionMax="47" xr10:uidLastSave="{00000000-0000-0000-0000-000000000000}"/>
  <bookViews>
    <workbookView xWindow="-108" yWindow="-108" windowWidth="23256" windowHeight="12456" xr2:uid="{4ED2546D-61CD-49C1-B287-C330B6241C73}"/>
  </bookViews>
  <sheets>
    <sheet name="Water Meter Reading Feb 2026" sheetId="2" r:id="rId1"/>
    <sheet name="pi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F20" i="2"/>
  <c r="F78" i="2"/>
  <c r="F77" i="2"/>
  <c r="F66" i="2"/>
  <c r="F55" i="2"/>
  <c r="F44" i="2"/>
  <c r="F76" i="2"/>
  <c r="F65" i="2"/>
  <c r="F54" i="2"/>
  <c r="F43" i="2"/>
  <c r="F75" i="2"/>
  <c r="F64" i="2"/>
  <c r="F53" i="2"/>
  <c r="F42" i="2"/>
  <c r="F74" i="2"/>
  <c r="F63" i="2"/>
  <c r="F52" i="2"/>
  <c r="F41" i="2"/>
  <c r="F73" i="2"/>
  <c r="F62" i="2"/>
  <c r="F51" i="2"/>
  <c r="F40" i="2"/>
  <c r="F72" i="2"/>
  <c r="F61" i="2"/>
  <c r="F50" i="2"/>
  <c r="F39" i="2"/>
  <c r="F71" i="2"/>
  <c r="F60" i="2"/>
  <c r="F49" i="2"/>
  <c r="F38" i="2"/>
  <c r="F70" i="2"/>
  <c r="F59" i="2"/>
  <c r="F48" i="2"/>
  <c r="F37" i="2"/>
  <c r="F69" i="2"/>
  <c r="F58" i="2"/>
  <c r="F47" i="2"/>
  <c r="F36" i="2"/>
  <c r="F68" i="2"/>
  <c r="F57" i="2"/>
  <c r="F46" i="2"/>
  <c r="F35" i="2"/>
  <c r="F67" i="2"/>
  <c r="F56" i="2"/>
  <c r="F45" i="2"/>
  <c r="F34" i="2"/>
  <c r="F31" i="2"/>
  <c r="F24" i="2"/>
  <c r="F17" i="2"/>
  <c r="F10" i="2"/>
  <c r="F30" i="2"/>
  <c r="F23" i="2"/>
  <c r="F16" i="2"/>
  <c r="F9" i="2"/>
  <c r="F29" i="2"/>
  <c r="F22" i="2"/>
  <c r="F15" i="2"/>
  <c r="F8" i="2"/>
  <c r="F28" i="2"/>
  <c r="F21" i="2"/>
  <c r="F14" i="2"/>
  <c r="F7" i="2"/>
  <c r="F27" i="2"/>
  <c r="F13" i="2"/>
  <c r="F6" i="2"/>
  <c r="F26" i="2"/>
  <c r="F19" i="2"/>
  <c r="F12" i="2"/>
  <c r="F5" i="2"/>
  <c r="F25" i="2"/>
  <c r="F18" i="2"/>
  <c r="F11" i="2"/>
  <c r="F4" i="2"/>
  <c r="F33" i="2"/>
  <c r="F32" i="2"/>
  <c r="F79" i="2" l="1"/>
  <c r="F80" i="2" s="1"/>
  <c r="F81" i="2" s="1"/>
  <c r="G69" i="2" l="1"/>
  <c r="G63" i="2"/>
  <c r="G71" i="2"/>
  <c r="G57" i="2"/>
  <c r="G30" i="2"/>
  <c r="G54" i="2"/>
  <c r="G40" i="2"/>
  <c r="G5" i="2"/>
  <c r="G74" i="2"/>
  <c r="G66" i="2"/>
  <c r="G12" i="2"/>
  <c r="G65" i="2"/>
  <c r="G59" i="2"/>
  <c r="G14" i="2"/>
  <c r="G77" i="2"/>
  <c r="G70" i="2"/>
  <c r="G67" i="2"/>
  <c r="G38" i="2"/>
  <c r="G50" i="2"/>
  <c r="G36" i="2"/>
  <c r="G31" i="2"/>
  <c r="G76" i="2"/>
  <c r="G34" i="2"/>
  <c r="G21" i="2"/>
  <c r="G4" i="2"/>
  <c r="G64" i="2"/>
  <c r="G35" i="2"/>
  <c r="G29" i="2"/>
  <c r="G39" i="2"/>
  <c r="G61" i="2"/>
  <c r="G15" i="2"/>
  <c r="G44" i="2"/>
  <c r="G75" i="2"/>
  <c r="G20" i="2"/>
  <c r="G16" i="2"/>
  <c r="G46" i="2"/>
  <c r="G52" i="2"/>
  <c r="G72" i="2"/>
  <c r="G23" i="2"/>
  <c r="G55" i="2"/>
  <c r="G58" i="2"/>
  <c r="G37" i="2"/>
  <c r="G41" i="2"/>
  <c r="G25" i="2"/>
  <c r="G7" i="2"/>
  <c r="G48" i="2"/>
  <c r="G10" i="2"/>
  <c r="G56" i="2"/>
  <c r="G68" i="2"/>
  <c r="G42" i="2"/>
  <c r="G51" i="2"/>
  <c r="G19" i="2"/>
  <c r="G17" i="2"/>
  <c r="G22" i="2"/>
  <c r="G53" i="2"/>
  <c r="G26" i="2"/>
  <c r="G62" i="2"/>
  <c r="G24" i="2"/>
  <c r="G27" i="2"/>
  <c r="G6" i="2"/>
  <c r="G47" i="2"/>
  <c r="G49" i="2"/>
  <c r="G73" i="2"/>
  <c r="G28" i="2"/>
  <c r="G13" i="2"/>
  <c r="G11" i="2"/>
  <c r="G60" i="2"/>
  <c r="G9" i="2"/>
  <c r="G43" i="2"/>
  <c r="G45" i="2"/>
  <c r="G18" i="2"/>
  <c r="G8" i="2"/>
  <c r="G79" i="2" l="1"/>
</calcChain>
</file>

<file path=xl/sharedStrings.xml><?xml version="1.0" encoding="utf-8"?>
<sst xmlns="http://schemas.openxmlformats.org/spreadsheetml/2006/main" count="89" uniqueCount="14">
  <si>
    <t>Flat No</t>
  </si>
  <si>
    <t xml:space="preserve">Present reading </t>
  </si>
  <si>
    <t>Previous Reading</t>
  </si>
  <si>
    <t>Consumption</t>
  </si>
  <si>
    <t>Water charges</t>
  </si>
  <si>
    <t>Block</t>
  </si>
  <si>
    <t>A</t>
  </si>
  <si>
    <t>B</t>
  </si>
  <si>
    <t>Common</t>
  </si>
  <si>
    <t xml:space="preserve">JS Harmony </t>
  </si>
  <si>
    <t>Water Meter Charges for February 2026</t>
  </si>
  <si>
    <t>February 2026Water Tank Usage</t>
  </si>
  <si>
    <t xml:space="preserve">Feb 1-Feb 28 </t>
  </si>
  <si>
    <t>Rs/Litre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</si>
</sst>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</xdr:row>
      <xdr:rowOff>22860</xdr:rowOff>
    </xdr:from>
    <xdr:to>
      <xdr:col>13</xdr:col>
      <xdr:colOff>396240</xdr:colOff>
      <xdr:row>39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7F1039-FB24-D489-E163-7529F8060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205740"/>
          <a:ext cx="7703820" cy="709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13</xdr:col>
      <xdr:colOff>388620</xdr:colOff>
      <xdr:row>99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323469-65DC-7AA1-9394-46810D13A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98080"/>
          <a:ext cx="7703820" cy="10751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D1A7F-5A8A-5046-88AF-C248C516573F}" name="Table2" displayName="Table2" ref="B3:G80" totalsRowCount="1" headerRowDxfId="16" dataDxfId="14" headerRowBorderDxfId="15" tableBorderDxfId="13" totalsRowBorderDxfId="12">
  <autoFilter ref="B3:G79" xr:uid="{F1CD1A7F-5A8A-5046-88AF-C248C516573F}"/>
  <tableColumns count="6">
    <tableColumn id="1" xr3:uid="{C77F187B-2606-AA4B-BC5E-399E8BC3F0AB}" name="Block" dataDxfId="11" totalsRowDxfId="5"/>
    <tableColumn id="2" xr3:uid="{CD7B769F-5E8B-634F-B48B-F8D24D18FB32}" name="Flat No" dataDxfId="10" totalsRowDxfId="4"/>
    <tableColumn id="3" xr3:uid="{30DE14D3-89C8-E44A-909B-545659C7806E}" name="Present reading " dataDxfId="9" totalsRowDxfId="3"/>
    <tableColumn id="4" xr3:uid="{46F4CCB0-7FE3-694C-8C08-6B8EBBDED205}" name="Previous Reading" dataDxfId="8" totalsRowDxfId="2"/>
    <tableColumn id="5" xr3:uid="{0534209B-6EFD-6B48-BD08-FF33E973AA00}" name="Consumption" totalsRowFunction="custom" dataDxfId="7" totalsRowDxfId="1">
      <totalsRowFormula xml:space="preserve"> (F79 - F78 - F32 - F33)</totalsRowFormula>
    </tableColumn>
    <tableColumn id="6" xr3:uid="{081DDB78-7A7F-034F-9C3C-DE6F43A710AA}" name="Water charges" dataDxfId="6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7575-6BFF-4FDF-B94D-3393E2F5C8F5}">
  <dimension ref="B1:M81"/>
  <sheetViews>
    <sheetView tabSelected="1" workbookViewId="0"/>
  </sheetViews>
  <sheetFormatPr defaultColWidth="8.77734375" defaultRowHeight="18" x14ac:dyDescent="0.35"/>
  <cols>
    <col min="1" max="1" width="8.77734375" style="1"/>
    <col min="2" max="3" width="16" style="1" customWidth="1"/>
    <col min="4" max="4" width="22.33203125" style="1" bestFit="1" customWidth="1"/>
    <col min="5" max="5" width="23.33203125" style="1" bestFit="1" customWidth="1"/>
    <col min="6" max="6" width="16.77734375" style="1" customWidth="1"/>
    <col min="7" max="7" width="17.77734375" style="1" bestFit="1" customWidth="1"/>
    <col min="8" max="9" width="8.77734375" style="1"/>
    <col min="10" max="10" width="12.6640625" style="1" bestFit="1" customWidth="1"/>
    <col min="11" max="16384" width="8.77734375" style="1"/>
  </cols>
  <sheetData>
    <row r="1" spans="2:13" x14ac:dyDescent="0.35">
      <c r="B1" s="12" t="s">
        <v>9</v>
      </c>
      <c r="C1" s="12"/>
      <c r="D1" s="12"/>
      <c r="E1" s="12"/>
      <c r="F1" s="12"/>
      <c r="G1" s="13"/>
    </row>
    <row r="2" spans="2:13" x14ac:dyDescent="0.35">
      <c r="B2" s="14" t="s">
        <v>10</v>
      </c>
      <c r="C2" s="14"/>
      <c r="D2" s="14"/>
      <c r="E2" s="14"/>
      <c r="F2" s="14"/>
      <c r="G2" s="14"/>
    </row>
    <row r="3" spans="2:13" x14ac:dyDescent="0.35">
      <c r="B3" s="5" t="s">
        <v>5</v>
      </c>
      <c r="C3" s="6" t="s">
        <v>0</v>
      </c>
      <c r="D3" s="6" t="s">
        <v>1</v>
      </c>
      <c r="E3" s="6" t="s">
        <v>2</v>
      </c>
      <c r="F3" s="6" t="s">
        <v>3</v>
      </c>
      <c r="G3" s="7" t="s">
        <v>4</v>
      </c>
    </row>
    <row r="4" spans="2:13" x14ac:dyDescent="0.35">
      <c r="B4" s="3" t="s">
        <v>6</v>
      </c>
      <c r="C4" s="2">
        <v>1</v>
      </c>
      <c r="D4" s="2">
        <v>270360</v>
      </c>
      <c r="E4" s="2">
        <v>256220</v>
      </c>
      <c r="F4" s="2">
        <f t="shared" ref="F4:F35" si="0">D4-E4</f>
        <v>14140</v>
      </c>
      <c r="G4" s="4">
        <f>F4*$F$81</f>
        <v>357.95550435982267</v>
      </c>
    </row>
    <row r="5" spans="2:13" x14ac:dyDescent="0.35">
      <c r="B5" s="3" t="s">
        <v>6</v>
      </c>
      <c r="C5" s="2">
        <v>2</v>
      </c>
      <c r="D5" s="2">
        <v>10910</v>
      </c>
      <c r="E5" s="2">
        <v>10910</v>
      </c>
      <c r="F5" s="2">
        <f t="shared" si="0"/>
        <v>0</v>
      </c>
      <c r="G5" s="4">
        <f>F5*$F$81</f>
        <v>0</v>
      </c>
      <c r="J5" s="15" t="s">
        <v>11</v>
      </c>
      <c r="K5" s="16"/>
      <c r="L5" s="16"/>
      <c r="M5" s="17"/>
    </row>
    <row r="6" spans="2:13" x14ac:dyDescent="0.35">
      <c r="B6" s="3" t="s">
        <v>6</v>
      </c>
      <c r="C6" s="2">
        <v>3</v>
      </c>
      <c r="D6" s="2">
        <v>297240</v>
      </c>
      <c r="E6" s="2">
        <v>283150</v>
      </c>
      <c r="F6" s="2">
        <f t="shared" si="0"/>
        <v>14090</v>
      </c>
      <c r="G6" s="4">
        <f t="shared" ref="G6:G69" si="1">F6*$F$81</f>
        <v>356.68974939391097</v>
      </c>
      <c r="J6" s="11" t="s">
        <v>12</v>
      </c>
      <c r="K6" s="11">
        <v>28</v>
      </c>
      <c r="L6" s="11">
        <v>675</v>
      </c>
      <c r="M6" s="11">
        <f>SUM(K6*L6)</f>
        <v>18900</v>
      </c>
    </row>
    <row r="7" spans="2:13" x14ac:dyDescent="0.35">
      <c r="B7" s="3" t="s">
        <v>6</v>
      </c>
      <c r="C7" s="2">
        <v>4</v>
      </c>
      <c r="D7" s="2">
        <v>240220</v>
      </c>
      <c r="E7" s="2">
        <v>235110</v>
      </c>
      <c r="F7" s="2">
        <f t="shared" si="0"/>
        <v>5110</v>
      </c>
      <c r="G7" s="4">
        <f t="shared" si="1"/>
        <v>129.36015751617353</v>
      </c>
    </row>
    <row r="8" spans="2:13" x14ac:dyDescent="0.35">
      <c r="B8" s="3" t="s">
        <v>6</v>
      </c>
      <c r="C8" s="2">
        <v>5</v>
      </c>
      <c r="D8" s="2">
        <v>301900</v>
      </c>
      <c r="E8" s="2">
        <v>287010</v>
      </c>
      <c r="F8" s="2">
        <f t="shared" si="0"/>
        <v>14890</v>
      </c>
      <c r="G8" s="4">
        <f t="shared" si="1"/>
        <v>376.94182884849783</v>
      </c>
    </row>
    <row r="9" spans="2:13" x14ac:dyDescent="0.35">
      <c r="B9" s="3" t="s">
        <v>6</v>
      </c>
      <c r="C9" s="2">
        <v>6</v>
      </c>
      <c r="D9" s="2">
        <v>261200</v>
      </c>
      <c r="E9" s="2">
        <v>250190</v>
      </c>
      <c r="F9" s="2">
        <f t="shared" si="0"/>
        <v>11010</v>
      </c>
      <c r="G9" s="4">
        <f t="shared" si="1"/>
        <v>278.71924349375161</v>
      </c>
    </row>
    <row r="10" spans="2:13" x14ac:dyDescent="0.35">
      <c r="B10" s="3" t="s">
        <v>6</v>
      </c>
      <c r="C10" s="2">
        <v>7</v>
      </c>
      <c r="D10" s="2">
        <v>374490</v>
      </c>
      <c r="E10" s="2">
        <v>360410</v>
      </c>
      <c r="F10" s="2">
        <f t="shared" si="0"/>
        <v>14080</v>
      </c>
      <c r="G10" s="4">
        <f t="shared" si="1"/>
        <v>356.43659840072866</v>
      </c>
    </row>
    <row r="11" spans="2:13" x14ac:dyDescent="0.35">
      <c r="B11" s="3" t="s">
        <v>6</v>
      </c>
      <c r="C11" s="2">
        <v>101</v>
      </c>
      <c r="D11" s="2">
        <v>201170</v>
      </c>
      <c r="E11" s="2">
        <v>188290</v>
      </c>
      <c r="F11" s="2">
        <f t="shared" si="0"/>
        <v>12880</v>
      </c>
      <c r="G11" s="4">
        <f t="shared" si="1"/>
        <v>326.05847921884839</v>
      </c>
    </row>
    <row r="12" spans="2:13" x14ac:dyDescent="0.35">
      <c r="B12" s="3" t="s">
        <v>6</v>
      </c>
      <c r="C12" s="2">
        <v>102</v>
      </c>
      <c r="D12" s="2">
        <v>274330</v>
      </c>
      <c r="E12" s="2">
        <v>259080</v>
      </c>
      <c r="F12" s="2">
        <f t="shared" si="0"/>
        <v>15250</v>
      </c>
      <c r="G12" s="4">
        <f t="shared" si="1"/>
        <v>386.05526460306191</v>
      </c>
    </row>
    <row r="13" spans="2:13" x14ac:dyDescent="0.35">
      <c r="B13" s="3" t="s">
        <v>6</v>
      </c>
      <c r="C13" s="2">
        <v>103</v>
      </c>
      <c r="D13" s="2">
        <v>628710</v>
      </c>
      <c r="E13" s="2">
        <v>602190</v>
      </c>
      <c r="F13" s="2">
        <f t="shared" si="0"/>
        <v>26520</v>
      </c>
      <c r="G13" s="4">
        <f t="shared" si="1"/>
        <v>671.35643391955421</v>
      </c>
    </row>
    <row r="14" spans="2:13" x14ac:dyDescent="0.35">
      <c r="B14" s="3" t="s">
        <v>6</v>
      </c>
      <c r="C14" s="2">
        <v>104</v>
      </c>
      <c r="D14" s="2">
        <v>166310</v>
      </c>
      <c r="E14" s="2">
        <v>162030</v>
      </c>
      <c r="F14" s="2">
        <f t="shared" si="0"/>
        <v>4280</v>
      </c>
      <c r="G14" s="4">
        <f t="shared" si="1"/>
        <v>108.34862508203967</v>
      </c>
    </row>
    <row r="15" spans="2:13" x14ac:dyDescent="0.35">
      <c r="B15" s="3" t="s">
        <v>6</v>
      </c>
      <c r="C15" s="2">
        <v>105</v>
      </c>
      <c r="D15" s="2">
        <v>489230</v>
      </c>
      <c r="E15" s="2">
        <v>471670</v>
      </c>
      <c r="F15" s="2">
        <f t="shared" si="0"/>
        <v>17560</v>
      </c>
      <c r="G15" s="4">
        <f t="shared" si="1"/>
        <v>444.53314402818148</v>
      </c>
    </row>
    <row r="16" spans="2:13" x14ac:dyDescent="0.35">
      <c r="B16" s="3" t="s">
        <v>6</v>
      </c>
      <c r="C16" s="2">
        <v>106</v>
      </c>
      <c r="D16" s="2">
        <v>282860</v>
      </c>
      <c r="E16" s="2">
        <v>271130</v>
      </c>
      <c r="F16" s="2">
        <f t="shared" si="0"/>
        <v>11730</v>
      </c>
      <c r="G16" s="4">
        <f t="shared" si="1"/>
        <v>296.94611500287976</v>
      </c>
    </row>
    <row r="17" spans="2:7" x14ac:dyDescent="0.35">
      <c r="B17" s="3" t="s">
        <v>6</v>
      </c>
      <c r="C17" s="2">
        <v>107</v>
      </c>
      <c r="D17" s="2">
        <v>422200</v>
      </c>
      <c r="E17" s="2">
        <v>410400</v>
      </c>
      <c r="F17" s="2">
        <f t="shared" si="0"/>
        <v>11800</v>
      </c>
      <c r="G17" s="4">
        <f t="shared" si="1"/>
        <v>298.71817195515609</v>
      </c>
    </row>
    <row r="18" spans="2:7" x14ac:dyDescent="0.35">
      <c r="B18" s="3" t="s">
        <v>6</v>
      </c>
      <c r="C18" s="2">
        <v>201</v>
      </c>
      <c r="D18" s="2">
        <v>88430</v>
      </c>
      <c r="E18" s="2">
        <v>84450</v>
      </c>
      <c r="F18" s="2">
        <f t="shared" si="0"/>
        <v>3980</v>
      </c>
      <c r="G18" s="4">
        <f t="shared" si="1"/>
        <v>100.75409528656961</v>
      </c>
    </row>
    <row r="19" spans="2:7" x14ac:dyDescent="0.35">
      <c r="B19" s="3" t="s">
        <v>6</v>
      </c>
      <c r="C19" s="2">
        <v>202</v>
      </c>
      <c r="D19" s="2">
        <v>168400</v>
      </c>
      <c r="E19" s="2">
        <v>161260</v>
      </c>
      <c r="F19" s="2">
        <f t="shared" si="0"/>
        <v>7140</v>
      </c>
      <c r="G19" s="4">
        <f t="shared" si="1"/>
        <v>180.74980913218769</v>
      </c>
    </row>
    <row r="20" spans="2:7" x14ac:dyDescent="0.35">
      <c r="B20" s="4" t="s">
        <v>6</v>
      </c>
      <c r="C20" s="4">
        <v>203</v>
      </c>
      <c r="D20" s="4">
        <v>72710</v>
      </c>
      <c r="E20" s="4">
        <v>72710</v>
      </c>
      <c r="F20" s="4">
        <f t="shared" si="0"/>
        <v>0</v>
      </c>
      <c r="G20" s="4">
        <f t="shared" si="1"/>
        <v>0</v>
      </c>
    </row>
    <row r="21" spans="2:7" x14ac:dyDescent="0.35">
      <c r="B21" s="3" t="s">
        <v>6</v>
      </c>
      <c r="C21" s="2">
        <v>204</v>
      </c>
      <c r="D21" s="2">
        <v>174090</v>
      </c>
      <c r="E21" s="2">
        <v>173130</v>
      </c>
      <c r="F21" s="2">
        <f t="shared" si="0"/>
        <v>960</v>
      </c>
      <c r="G21" s="4">
        <f t="shared" si="1"/>
        <v>24.302495345504227</v>
      </c>
    </row>
    <row r="22" spans="2:7" x14ac:dyDescent="0.35">
      <c r="B22" s="3" t="s">
        <v>6</v>
      </c>
      <c r="C22" s="2">
        <v>205</v>
      </c>
      <c r="D22" s="2">
        <v>149340</v>
      </c>
      <c r="E22" s="2">
        <v>143070</v>
      </c>
      <c r="F22" s="2">
        <f t="shared" si="0"/>
        <v>6270</v>
      </c>
      <c r="G22" s="4">
        <f t="shared" si="1"/>
        <v>158.72567272532447</v>
      </c>
    </row>
    <row r="23" spans="2:7" x14ac:dyDescent="0.35">
      <c r="B23" s="3" t="s">
        <v>6</v>
      </c>
      <c r="C23" s="2">
        <v>206</v>
      </c>
      <c r="D23" s="2">
        <v>342940</v>
      </c>
      <c r="E23" s="2">
        <v>328250</v>
      </c>
      <c r="F23" s="2">
        <f t="shared" si="0"/>
        <v>14690</v>
      </c>
      <c r="G23" s="4">
        <f t="shared" si="1"/>
        <v>371.8788089848511</v>
      </c>
    </row>
    <row r="24" spans="2:7" x14ac:dyDescent="0.35">
      <c r="B24" s="3" t="s">
        <v>6</v>
      </c>
      <c r="C24" s="2">
        <v>207</v>
      </c>
      <c r="D24" s="2">
        <v>277020</v>
      </c>
      <c r="E24" s="2">
        <v>266150</v>
      </c>
      <c r="F24" s="2">
        <f t="shared" si="0"/>
        <v>10870</v>
      </c>
      <c r="G24" s="4">
        <f t="shared" si="1"/>
        <v>275.17512958919889</v>
      </c>
    </row>
    <row r="25" spans="2:7" x14ac:dyDescent="0.35">
      <c r="B25" s="3" t="s">
        <v>6</v>
      </c>
      <c r="C25" s="2">
        <v>301</v>
      </c>
      <c r="D25" s="2">
        <v>553660</v>
      </c>
      <c r="E25" s="2">
        <v>532520</v>
      </c>
      <c r="F25" s="2">
        <f t="shared" si="0"/>
        <v>21140</v>
      </c>
      <c r="G25" s="4">
        <f t="shared" si="1"/>
        <v>535.16119958745765</v>
      </c>
    </row>
    <row r="26" spans="2:7" x14ac:dyDescent="0.35">
      <c r="B26" s="3" t="s">
        <v>6</v>
      </c>
      <c r="C26" s="2">
        <v>302</v>
      </c>
      <c r="D26" s="2">
        <v>333330</v>
      </c>
      <c r="E26" s="2">
        <v>332730</v>
      </c>
      <c r="F26" s="2">
        <f t="shared" si="0"/>
        <v>600</v>
      </c>
      <c r="G26" s="4">
        <f t="shared" si="1"/>
        <v>15.189059590940142</v>
      </c>
    </row>
    <row r="27" spans="2:7" x14ac:dyDescent="0.35">
      <c r="B27" s="3" t="s">
        <v>6</v>
      </c>
      <c r="C27" s="2">
        <v>303</v>
      </c>
      <c r="D27" s="2">
        <v>113620</v>
      </c>
      <c r="E27" s="2">
        <v>107530</v>
      </c>
      <c r="F27" s="2">
        <f t="shared" si="0"/>
        <v>6090</v>
      </c>
      <c r="G27" s="4">
        <f t="shared" si="1"/>
        <v>154.16895484804243</v>
      </c>
    </row>
    <row r="28" spans="2:7" x14ac:dyDescent="0.35">
      <c r="B28" s="3" t="s">
        <v>6</v>
      </c>
      <c r="C28" s="2">
        <v>304</v>
      </c>
      <c r="D28" s="2">
        <v>28140</v>
      </c>
      <c r="E28" s="2">
        <v>28140</v>
      </c>
      <c r="F28" s="2">
        <f t="shared" si="0"/>
        <v>0</v>
      </c>
      <c r="G28" s="4">
        <f t="shared" si="1"/>
        <v>0</v>
      </c>
    </row>
    <row r="29" spans="2:7" x14ac:dyDescent="0.35">
      <c r="B29" s="3" t="s">
        <v>6</v>
      </c>
      <c r="C29" s="2">
        <v>305</v>
      </c>
      <c r="D29" s="2">
        <v>429540</v>
      </c>
      <c r="E29" s="2">
        <v>405260</v>
      </c>
      <c r="F29" s="2">
        <f t="shared" si="0"/>
        <v>24280</v>
      </c>
      <c r="G29" s="4">
        <f t="shared" si="1"/>
        <v>614.65061144671108</v>
      </c>
    </row>
    <row r="30" spans="2:7" x14ac:dyDescent="0.35">
      <c r="B30" s="3" t="s">
        <v>6</v>
      </c>
      <c r="C30" s="2">
        <v>306</v>
      </c>
      <c r="D30" s="2">
        <v>265650</v>
      </c>
      <c r="E30" s="2">
        <v>254130</v>
      </c>
      <c r="F30" s="2">
        <f t="shared" si="0"/>
        <v>11520</v>
      </c>
      <c r="G30" s="4">
        <f t="shared" si="1"/>
        <v>291.62994414605072</v>
      </c>
    </row>
    <row r="31" spans="2:7" x14ac:dyDescent="0.35">
      <c r="B31" s="3" t="s">
        <v>6</v>
      </c>
      <c r="C31" s="2">
        <v>307</v>
      </c>
      <c r="D31" s="2">
        <v>106420</v>
      </c>
      <c r="E31" s="2">
        <v>98930</v>
      </c>
      <c r="F31" s="2">
        <f t="shared" si="0"/>
        <v>7490</v>
      </c>
      <c r="G31" s="4">
        <f t="shared" si="1"/>
        <v>189.61009389356943</v>
      </c>
    </row>
    <row r="32" spans="2:7" x14ac:dyDescent="0.35">
      <c r="B32" s="3" t="s">
        <v>6</v>
      </c>
      <c r="C32" s="2" t="s">
        <v>8</v>
      </c>
      <c r="D32" s="2">
        <v>97410</v>
      </c>
      <c r="E32" s="2">
        <v>91730</v>
      </c>
      <c r="F32" s="2">
        <f t="shared" si="0"/>
        <v>5680</v>
      </c>
      <c r="G32" s="4">
        <v>0</v>
      </c>
    </row>
    <row r="33" spans="2:7" x14ac:dyDescent="0.35">
      <c r="B33" s="3" t="s">
        <v>6</v>
      </c>
      <c r="C33" s="2" t="s">
        <v>8</v>
      </c>
      <c r="D33" s="2">
        <v>55430</v>
      </c>
      <c r="E33" s="2">
        <v>55380</v>
      </c>
      <c r="F33" s="2">
        <f t="shared" si="0"/>
        <v>50</v>
      </c>
      <c r="G33" s="4">
        <v>0</v>
      </c>
    </row>
    <row r="34" spans="2:7" x14ac:dyDescent="0.35">
      <c r="B34" s="3" t="s">
        <v>7</v>
      </c>
      <c r="C34" s="2">
        <v>1</v>
      </c>
      <c r="D34" s="2">
        <v>199670</v>
      </c>
      <c r="E34" s="2">
        <v>196960</v>
      </c>
      <c r="F34" s="2">
        <f t="shared" si="0"/>
        <v>2710</v>
      </c>
      <c r="G34" s="4">
        <f t="shared" si="1"/>
        <v>68.603919152412971</v>
      </c>
    </row>
    <row r="35" spans="2:7" x14ac:dyDescent="0.35">
      <c r="B35" s="3" t="s">
        <v>7</v>
      </c>
      <c r="C35" s="2">
        <v>2</v>
      </c>
      <c r="D35" s="2">
        <v>249930</v>
      </c>
      <c r="E35" s="2">
        <v>238200</v>
      </c>
      <c r="F35" s="2">
        <f t="shared" si="0"/>
        <v>11730</v>
      </c>
      <c r="G35" s="4">
        <f t="shared" si="1"/>
        <v>296.94611500287976</v>
      </c>
    </row>
    <row r="36" spans="2:7" x14ac:dyDescent="0.35">
      <c r="B36" s="3" t="s">
        <v>7</v>
      </c>
      <c r="C36" s="2">
        <v>3</v>
      </c>
      <c r="D36" s="2">
        <v>482780</v>
      </c>
      <c r="E36" s="2">
        <v>469720</v>
      </c>
      <c r="F36" s="2">
        <f t="shared" ref="F36:F67" si="2">D36-E36</f>
        <v>13060</v>
      </c>
      <c r="G36" s="4">
        <f t="shared" si="1"/>
        <v>330.61519709613043</v>
      </c>
    </row>
    <row r="37" spans="2:7" x14ac:dyDescent="0.35">
      <c r="B37" s="3" t="s">
        <v>7</v>
      </c>
      <c r="C37" s="2">
        <v>4</v>
      </c>
      <c r="D37" s="2">
        <v>274680</v>
      </c>
      <c r="E37" s="2">
        <v>261810</v>
      </c>
      <c r="F37" s="2">
        <f t="shared" si="2"/>
        <v>12870</v>
      </c>
      <c r="G37" s="4">
        <f t="shared" si="1"/>
        <v>325.80532822566602</v>
      </c>
    </row>
    <row r="38" spans="2:7" x14ac:dyDescent="0.35">
      <c r="B38" s="3" t="s">
        <v>7</v>
      </c>
      <c r="C38" s="2">
        <v>5</v>
      </c>
      <c r="D38" s="2">
        <v>378710</v>
      </c>
      <c r="E38" s="2">
        <v>358690</v>
      </c>
      <c r="F38" s="2">
        <f t="shared" si="2"/>
        <v>20020</v>
      </c>
      <c r="G38" s="4">
        <f t="shared" si="1"/>
        <v>506.80828835103603</v>
      </c>
    </row>
    <row r="39" spans="2:7" x14ac:dyDescent="0.35">
      <c r="B39" s="3" t="s">
        <v>7</v>
      </c>
      <c r="C39" s="2">
        <v>6</v>
      </c>
      <c r="D39" s="2">
        <v>325720</v>
      </c>
      <c r="E39" s="2">
        <v>302800</v>
      </c>
      <c r="F39" s="2">
        <f t="shared" si="2"/>
        <v>22920</v>
      </c>
      <c r="G39" s="4">
        <f t="shared" si="1"/>
        <v>580.22207637391341</v>
      </c>
    </row>
    <row r="40" spans="2:7" x14ac:dyDescent="0.35">
      <c r="B40" s="3" t="s">
        <v>7</v>
      </c>
      <c r="C40" s="2">
        <v>7</v>
      </c>
      <c r="D40" s="2">
        <v>403170</v>
      </c>
      <c r="E40" s="2">
        <v>382140</v>
      </c>
      <c r="F40" s="2">
        <f t="shared" si="2"/>
        <v>21030</v>
      </c>
      <c r="G40" s="4">
        <f t="shared" si="1"/>
        <v>532.37653866245194</v>
      </c>
    </row>
    <row r="41" spans="2:7" x14ac:dyDescent="0.35">
      <c r="B41" s="3" t="s">
        <v>7</v>
      </c>
      <c r="C41" s="2">
        <v>8</v>
      </c>
      <c r="D41" s="2">
        <v>167010</v>
      </c>
      <c r="E41" s="2">
        <v>158870</v>
      </c>
      <c r="F41" s="2">
        <f t="shared" si="2"/>
        <v>8140</v>
      </c>
      <c r="G41" s="4">
        <f t="shared" si="1"/>
        <v>206.06490845042126</v>
      </c>
    </row>
    <row r="42" spans="2:7" x14ac:dyDescent="0.35">
      <c r="B42" s="3" t="s">
        <v>7</v>
      </c>
      <c r="C42" s="2">
        <v>9</v>
      </c>
      <c r="D42" s="2">
        <v>256230</v>
      </c>
      <c r="E42" s="2">
        <v>243390</v>
      </c>
      <c r="F42" s="2">
        <f t="shared" si="2"/>
        <v>12840</v>
      </c>
      <c r="G42" s="4">
        <f t="shared" si="1"/>
        <v>325.04587524611901</v>
      </c>
    </row>
    <row r="43" spans="2:7" x14ac:dyDescent="0.35">
      <c r="B43" s="3" t="s">
        <v>7</v>
      </c>
      <c r="C43" s="2">
        <v>10</v>
      </c>
      <c r="D43" s="2">
        <v>306520</v>
      </c>
      <c r="E43" s="2">
        <v>294770</v>
      </c>
      <c r="F43" s="2">
        <f t="shared" si="2"/>
        <v>11750</v>
      </c>
      <c r="G43" s="4">
        <f t="shared" si="1"/>
        <v>297.45241698924445</v>
      </c>
    </row>
    <row r="44" spans="2:7" x14ac:dyDescent="0.35">
      <c r="B44" s="3" t="s">
        <v>7</v>
      </c>
      <c r="C44" s="2">
        <v>11</v>
      </c>
      <c r="D44" s="2">
        <v>85920</v>
      </c>
      <c r="E44" s="2">
        <v>82370</v>
      </c>
      <c r="F44" s="2">
        <f t="shared" si="2"/>
        <v>3550</v>
      </c>
      <c r="G44" s="4">
        <f t="shared" si="1"/>
        <v>89.868602579729171</v>
      </c>
    </row>
    <row r="45" spans="2:7" x14ac:dyDescent="0.35">
      <c r="B45" s="3" t="s">
        <v>7</v>
      </c>
      <c r="C45" s="2">
        <v>101</v>
      </c>
      <c r="D45" s="2">
        <v>244140</v>
      </c>
      <c r="E45" s="2">
        <v>232500</v>
      </c>
      <c r="F45" s="2">
        <f t="shared" si="2"/>
        <v>11640</v>
      </c>
      <c r="G45" s="4">
        <f t="shared" si="1"/>
        <v>294.66775606423874</v>
      </c>
    </row>
    <row r="46" spans="2:7" x14ac:dyDescent="0.35">
      <c r="B46" s="3" t="s">
        <v>7</v>
      </c>
      <c r="C46" s="2">
        <v>102</v>
      </c>
      <c r="D46" s="2">
        <v>191310</v>
      </c>
      <c r="E46" s="2">
        <v>180290</v>
      </c>
      <c r="F46" s="2">
        <f t="shared" si="2"/>
        <v>11020</v>
      </c>
      <c r="G46" s="4">
        <f t="shared" si="1"/>
        <v>278.97239448693392</v>
      </c>
    </row>
    <row r="47" spans="2:7" x14ac:dyDescent="0.35">
      <c r="B47" s="3" t="s">
        <v>7</v>
      </c>
      <c r="C47" s="2">
        <v>103</v>
      </c>
      <c r="D47" s="2">
        <v>76020</v>
      </c>
      <c r="E47" s="2">
        <v>68840</v>
      </c>
      <c r="F47" s="2">
        <f t="shared" si="2"/>
        <v>7180</v>
      </c>
      <c r="G47" s="4">
        <f t="shared" si="1"/>
        <v>181.76241310491702</v>
      </c>
    </row>
    <row r="48" spans="2:7" x14ac:dyDescent="0.35">
      <c r="B48" s="3" t="s">
        <v>7</v>
      </c>
      <c r="C48" s="2">
        <v>104</v>
      </c>
      <c r="D48" s="2">
        <v>26480</v>
      </c>
      <c r="E48" s="2">
        <v>25180</v>
      </c>
      <c r="F48" s="2">
        <f t="shared" si="2"/>
        <v>1300</v>
      </c>
      <c r="G48" s="4">
        <f t="shared" si="1"/>
        <v>32.909629113703637</v>
      </c>
    </row>
    <row r="49" spans="2:7" x14ac:dyDescent="0.35">
      <c r="B49" s="3" t="s">
        <v>7</v>
      </c>
      <c r="C49" s="2">
        <v>105</v>
      </c>
      <c r="D49" s="2">
        <v>529890</v>
      </c>
      <c r="E49" s="2">
        <v>511160</v>
      </c>
      <c r="F49" s="2">
        <f t="shared" si="2"/>
        <v>18730</v>
      </c>
      <c r="G49" s="4">
        <f t="shared" si="1"/>
        <v>474.15181023051474</v>
      </c>
    </row>
    <row r="50" spans="2:7" x14ac:dyDescent="0.35">
      <c r="B50" s="3" t="s">
        <v>7</v>
      </c>
      <c r="C50" s="2">
        <v>106</v>
      </c>
      <c r="D50" s="2">
        <v>141550</v>
      </c>
      <c r="E50" s="2">
        <v>132370</v>
      </c>
      <c r="F50" s="2">
        <f t="shared" si="2"/>
        <v>9180</v>
      </c>
      <c r="G50" s="4">
        <f t="shared" si="1"/>
        <v>232.39261174138417</v>
      </c>
    </row>
    <row r="51" spans="2:7" x14ac:dyDescent="0.35">
      <c r="B51" s="3" t="s">
        <v>7</v>
      </c>
      <c r="C51" s="2">
        <v>107</v>
      </c>
      <c r="D51" s="2">
        <v>75340</v>
      </c>
      <c r="E51" s="2">
        <v>70520</v>
      </c>
      <c r="F51" s="2">
        <f t="shared" si="2"/>
        <v>4820</v>
      </c>
      <c r="G51" s="4">
        <f t="shared" si="1"/>
        <v>122.01877871388579</v>
      </c>
    </row>
    <row r="52" spans="2:7" x14ac:dyDescent="0.35">
      <c r="B52" s="3" t="s">
        <v>7</v>
      </c>
      <c r="C52" s="2">
        <v>108</v>
      </c>
      <c r="D52" s="2">
        <v>469330</v>
      </c>
      <c r="E52" s="2">
        <v>448680</v>
      </c>
      <c r="F52" s="2">
        <f t="shared" si="2"/>
        <v>20650</v>
      </c>
      <c r="G52" s="4">
        <f t="shared" si="1"/>
        <v>522.75680092152322</v>
      </c>
    </row>
    <row r="53" spans="2:7" x14ac:dyDescent="0.35">
      <c r="B53" s="3" t="s">
        <v>7</v>
      </c>
      <c r="C53" s="2">
        <v>109</v>
      </c>
      <c r="D53" s="2">
        <v>132810</v>
      </c>
      <c r="E53" s="2">
        <v>126230</v>
      </c>
      <c r="F53" s="2">
        <f t="shared" si="2"/>
        <v>6580</v>
      </c>
      <c r="G53" s="4">
        <f t="shared" si="1"/>
        <v>166.57335351397688</v>
      </c>
    </row>
    <row r="54" spans="2:7" x14ac:dyDescent="0.35">
      <c r="B54" s="3" t="s">
        <v>7</v>
      </c>
      <c r="C54" s="2">
        <v>110</v>
      </c>
      <c r="D54" s="2">
        <v>309690</v>
      </c>
      <c r="E54" s="2">
        <v>293600</v>
      </c>
      <c r="F54" s="2">
        <f t="shared" si="2"/>
        <v>16090</v>
      </c>
      <c r="G54" s="4">
        <f t="shared" si="1"/>
        <v>407.3199480303781</v>
      </c>
    </row>
    <row r="55" spans="2:7" x14ac:dyDescent="0.35">
      <c r="B55" s="3" t="s">
        <v>7</v>
      </c>
      <c r="C55" s="2">
        <v>111</v>
      </c>
      <c r="D55" s="2">
        <v>265900</v>
      </c>
      <c r="E55" s="2">
        <v>257090</v>
      </c>
      <c r="F55" s="2">
        <f t="shared" si="2"/>
        <v>8810</v>
      </c>
      <c r="G55" s="4">
        <f t="shared" si="1"/>
        <v>223.02602499363775</v>
      </c>
    </row>
    <row r="56" spans="2:7" x14ac:dyDescent="0.35">
      <c r="B56" s="3" t="s">
        <v>7</v>
      </c>
      <c r="C56" s="2">
        <v>201</v>
      </c>
      <c r="D56" s="2">
        <v>208030</v>
      </c>
      <c r="E56" s="2">
        <v>198010</v>
      </c>
      <c r="F56" s="2">
        <f t="shared" si="2"/>
        <v>10020</v>
      </c>
      <c r="G56" s="4">
        <f t="shared" si="1"/>
        <v>253.65729516870036</v>
      </c>
    </row>
    <row r="57" spans="2:7" x14ac:dyDescent="0.35">
      <c r="B57" s="3" t="s">
        <v>7</v>
      </c>
      <c r="C57" s="2">
        <v>202</v>
      </c>
      <c r="D57" s="2">
        <v>278290</v>
      </c>
      <c r="E57" s="2">
        <v>273370</v>
      </c>
      <c r="F57" s="2">
        <f t="shared" si="2"/>
        <v>4920</v>
      </c>
      <c r="G57" s="4">
        <f t="shared" si="1"/>
        <v>124.55028864570916</v>
      </c>
    </row>
    <row r="58" spans="2:7" x14ac:dyDescent="0.35">
      <c r="B58" s="3" t="s">
        <v>7</v>
      </c>
      <c r="C58" s="2">
        <v>203</v>
      </c>
      <c r="D58" s="2">
        <v>269900</v>
      </c>
      <c r="E58" s="2">
        <v>262470</v>
      </c>
      <c r="F58" s="2">
        <f t="shared" si="2"/>
        <v>7430</v>
      </c>
      <c r="G58" s="4">
        <f t="shared" si="1"/>
        <v>188.09118793447541</v>
      </c>
    </row>
    <row r="59" spans="2:7" x14ac:dyDescent="0.35">
      <c r="B59" s="3" t="s">
        <v>7</v>
      </c>
      <c r="C59" s="2">
        <v>204</v>
      </c>
      <c r="D59" s="2">
        <v>65180</v>
      </c>
      <c r="E59" s="2">
        <v>64280</v>
      </c>
      <c r="F59" s="2">
        <f t="shared" si="2"/>
        <v>900</v>
      </c>
      <c r="G59" s="4">
        <f t="shared" si="1"/>
        <v>22.783589386410213</v>
      </c>
    </row>
    <row r="60" spans="2:7" x14ac:dyDescent="0.35">
      <c r="B60" s="3" t="s">
        <v>7</v>
      </c>
      <c r="C60" s="2">
        <v>205</v>
      </c>
      <c r="D60" s="2">
        <v>219370</v>
      </c>
      <c r="E60" s="2">
        <v>206950</v>
      </c>
      <c r="F60" s="2">
        <f t="shared" si="2"/>
        <v>12420</v>
      </c>
      <c r="G60" s="4">
        <f t="shared" si="1"/>
        <v>314.41353353246092</v>
      </c>
    </row>
    <row r="61" spans="2:7" x14ac:dyDescent="0.35">
      <c r="B61" s="3" t="s">
        <v>7</v>
      </c>
      <c r="C61" s="2">
        <v>206</v>
      </c>
      <c r="D61" s="2">
        <v>139880</v>
      </c>
      <c r="E61" s="2">
        <v>136110</v>
      </c>
      <c r="F61" s="2">
        <f t="shared" si="2"/>
        <v>3770</v>
      </c>
      <c r="G61" s="4">
        <f t="shared" si="1"/>
        <v>95.437924429740548</v>
      </c>
    </row>
    <row r="62" spans="2:7" x14ac:dyDescent="0.35">
      <c r="B62" s="3" t="s">
        <v>7</v>
      </c>
      <c r="C62" s="2">
        <v>207</v>
      </c>
      <c r="D62" s="2">
        <v>123440</v>
      </c>
      <c r="E62" s="2">
        <v>117500</v>
      </c>
      <c r="F62" s="2">
        <f t="shared" si="2"/>
        <v>5940</v>
      </c>
      <c r="G62" s="4">
        <f t="shared" si="1"/>
        <v>150.3716899503074</v>
      </c>
    </row>
    <row r="63" spans="2:7" x14ac:dyDescent="0.35">
      <c r="B63" s="3" t="s">
        <v>7</v>
      </c>
      <c r="C63" s="2">
        <v>208</v>
      </c>
      <c r="D63" s="2">
        <v>48270</v>
      </c>
      <c r="E63" s="2">
        <v>45430</v>
      </c>
      <c r="F63" s="2">
        <f t="shared" si="2"/>
        <v>2840</v>
      </c>
      <c r="G63" s="4">
        <f t="shared" si="1"/>
        <v>71.894882063783328</v>
      </c>
    </row>
    <row r="64" spans="2:7" x14ac:dyDescent="0.35">
      <c r="B64" s="3" t="s">
        <v>7</v>
      </c>
      <c r="C64" s="2">
        <v>209</v>
      </c>
      <c r="D64" s="2">
        <v>239080</v>
      </c>
      <c r="E64" s="2">
        <v>229130</v>
      </c>
      <c r="F64" s="2">
        <f t="shared" si="2"/>
        <v>9950</v>
      </c>
      <c r="G64" s="4">
        <f t="shared" si="1"/>
        <v>251.885238216424</v>
      </c>
    </row>
    <row r="65" spans="2:7" x14ac:dyDescent="0.35">
      <c r="B65" s="3" t="s">
        <v>7</v>
      </c>
      <c r="C65" s="2">
        <v>210</v>
      </c>
      <c r="D65" s="2">
        <v>258920</v>
      </c>
      <c r="E65" s="2">
        <v>253790</v>
      </c>
      <c r="F65" s="2">
        <f t="shared" si="2"/>
        <v>5130</v>
      </c>
      <c r="G65" s="4">
        <f t="shared" si="1"/>
        <v>129.86645950253822</v>
      </c>
    </row>
    <row r="66" spans="2:7" x14ac:dyDescent="0.35">
      <c r="B66" s="3" t="s">
        <v>7</v>
      </c>
      <c r="C66" s="2">
        <v>211</v>
      </c>
      <c r="D66" s="2">
        <v>342600</v>
      </c>
      <c r="E66" s="2">
        <v>323530</v>
      </c>
      <c r="F66" s="2">
        <f t="shared" si="2"/>
        <v>19070</v>
      </c>
      <c r="G66" s="4">
        <f t="shared" si="1"/>
        <v>482.75894399871413</v>
      </c>
    </row>
    <row r="67" spans="2:7" x14ac:dyDescent="0.35">
      <c r="B67" s="3" t="s">
        <v>7</v>
      </c>
      <c r="C67" s="2">
        <v>301</v>
      </c>
      <c r="D67" s="2">
        <v>507770</v>
      </c>
      <c r="E67" s="2">
        <v>487000</v>
      </c>
      <c r="F67" s="2">
        <f t="shared" si="2"/>
        <v>20770</v>
      </c>
      <c r="G67" s="4">
        <f t="shared" si="1"/>
        <v>525.79461283971125</v>
      </c>
    </row>
    <row r="68" spans="2:7" x14ac:dyDescent="0.35">
      <c r="B68" s="3" t="s">
        <v>7</v>
      </c>
      <c r="C68" s="2">
        <v>302</v>
      </c>
      <c r="D68" s="2">
        <v>169440</v>
      </c>
      <c r="E68" s="2">
        <v>158180</v>
      </c>
      <c r="F68" s="2">
        <f t="shared" ref="F68:F99" si="3">D68-E68</f>
        <v>11260</v>
      </c>
      <c r="G68" s="4">
        <f t="shared" si="1"/>
        <v>285.04801832330998</v>
      </c>
    </row>
    <row r="69" spans="2:7" x14ac:dyDescent="0.35">
      <c r="B69" s="3" t="s">
        <v>7</v>
      </c>
      <c r="C69" s="2">
        <v>303</v>
      </c>
      <c r="D69" s="2">
        <v>101100</v>
      </c>
      <c r="E69" s="2">
        <v>101090</v>
      </c>
      <c r="F69" s="2">
        <f t="shared" si="3"/>
        <v>10</v>
      </c>
      <c r="G69" s="4">
        <f t="shared" si="1"/>
        <v>0.25315099318233569</v>
      </c>
    </row>
    <row r="70" spans="2:7" x14ac:dyDescent="0.35">
      <c r="B70" s="3" t="s">
        <v>7</v>
      </c>
      <c r="C70" s="2">
        <v>304</v>
      </c>
      <c r="D70" s="2">
        <v>111280</v>
      </c>
      <c r="E70" s="2">
        <v>103820</v>
      </c>
      <c r="F70" s="2">
        <f t="shared" si="3"/>
        <v>7460</v>
      </c>
      <c r="G70" s="4">
        <f t="shared" ref="G70:G78" si="4">F70*$F$81</f>
        <v>188.85064091402242</v>
      </c>
    </row>
    <row r="71" spans="2:7" x14ac:dyDescent="0.35">
      <c r="B71" s="3" t="s">
        <v>7</v>
      </c>
      <c r="C71" s="2">
        <v>305</v>
      </c>
      <c r="D71" s="2">
        <v>289220</v>
      </c>
      <c r="E71" s="2">
        <v>273960</v>
      </c>
      <c r="F71" s="2">
        <f t="shared" si="3"/>
        <v>15260</v>
      </c>
      <c r="G71" s="4">
        <f t="shared" si="4"/>
        <v>386.30841559624423</v>
      </c>
    </row>
    <row r="72" spans="2:7" x14ac:dyDescent="0.35">
      <c r="B72" s="3" t="s">
        <v>7</v>
      </c>
      <c r="C72" s="2">
        <v>306</v>
      </c>
      <c r="D72" s="2">
        <v>275930</v>
      </c>
      <c r="E72" s="2">
        <v>262770</v>
      </c>
      <c r="F72" s="2">
        <f t="shared" si="3"/>
        <v>13160</v>
      </c>
      <c r="G72" s="4">
        <f t="shared" si="4"/>
        <v>333.14670702795377</v>
      </c>
    </row>
    <row r="73" spans="2:7" x14ac:dyDescent="0.35">
      <c r="B73" s="3" t="s">
        <v>7</v>
      </c>
      <c r="C73" s="2">
        <v>307</v>
      </c>
      <c r="D73" s="2">
        <v>325770</v>
      </c>
      <c r="E73" s="2">
        <v>313550</v>
      </c>
      <c r="F73" s="2">
        <f t="shared" si="3"/>
        <v>12220</v>
      </c>
      <c r="G73" s="4">
        <f t="shared" si="4"/>
        <v>309.35051366881419</v>
      </c>
    </row>
    <row r="74" spans="2:7" x14ac:dyDescent="0.35">
      <c r="B74" s="3" t="s">
        <v>7</v>
      </c>
      <c r="C74" s="2">
        <v>308</v>
      </c>
      <c r="D74" s="2">
        <v>290810</v>
      </c>
      <c r="E74" s="2">
        <v>277710</v>
      </c>
      <c r="F74" s="2">
        <f t="shared" si="3"/>
        <v>13100</v>
      </c>
      <c r="G74" s="4">
        <f t="shared" si="4"/>
        <v>331.62780106885975</v>
      </c>
    </row>
    <row r="75" spans="2:7" x14ac:dyDescent="0.35">
      <c r="B75" s="3" t="s">
        <v>7</v>
      </c>
      <c r="C75" s="2">
        <v>309</v>
      </c>
      <c r="D75" s="2">
        <v>83850</v>
      </c>
      <c r="E75" s="2">
        <v>79600</v>
      </c>
      <c r="F75" s="2">
        <f t="shared" si="3"/>
        <v>4250</v>
      </c>
      <c r="G75" s="4">
        <f t="shared" si="4"/>
        <v>107.58917210249267</v>
      </c>
    </row>
    <row r="76" spans="2:7" x14ac:dyDescent="0.35">
      <c r="B76" s="3" t="s">
        <v>7</v>
      </c>
      <c r="C76" s="2">
        <v>310</v>
      </c>
      <c r="D76" s="2">
        <v>155740</v>
      </c>
      <c r="E76" s="2">
        <v>146210</v>
      </c>
      <c r="F76" s="2">
        <f t="shared" si="3"/>
        <v>9530</v>
      </c>
      <c r="G76" s="4">
        <f t="shared" si="4"/>
        <v>241.25289650276591</v>
      </c>
    </row>
    <row r="77" spans="2:7" x14ac:dyDescent="0.35">
      <c r="B77" s="3" t="s">
        <v>7</v>
      </c>
      <c r="C77" s="2">
        <v>311</v>
      </c>
      <c r="D77" s="2">
        <v>198620</v>
      </c>
      <c r="E77" s="2">
        <v>186430</v>
      </c>
      <c r="F77" s="2">
        <f t="shared" si="3"/>
        <v>12190</v>
      </c>
      <c r="G77" s="4">
        <f t="shared" si="4"/>
        <v>308.59106068926718</v>
      </c>
    </row>
    <row r="78" spans="2:7" x14ac:dyDescent="0.35">
      <c r="B78" s="3" t="s">
        <v>7</v>
      </c>
      <c r="C78" s="2" t="s">
        <v>8</v>
      </c>
      <c r="D78" s="2">
        <v>162100</v>
      </c>
      <c r="E78" s="2">
        <v>158870</v>
      </c>
      <c r="F78" s="2">
        <f t="shared" si="3"/>
        <v>3230</v>
      </c>
      <c r="G78" s="4">
        <v>0</v>
      </c>
    </row>
    <row r="79" spans="2:7" x14ac:dyDescent="0.35">
      <c r="B79" s="8"/>
      <c r="C79" s="9"/>
      <c r="D79" s="9"/>
      <c r="E79" s="9"/>
      <c r="F79" s="9">
        <f>SUM(F4:F78)</f>
        <v>755550</v>
      </c>
      <c r="G79" s="10">
        <f>SUM(G4:G78)</f>
        <v>18900</v>
      </c>
    </row>
    <row r="80" spans="2:7" x14ac:dyDescent="0.35">
      <c r="B80" s="8"/>
      <c r="C80" s="9"/>
      <c r="D80" s="9"/>
      <c r="E80" s="9"/>
      <c r="F80" s="9">
        <f xml:space="preserve"> (F79 - F78 - F32 - F33)</f>
        <v>746590</v>
      </c>
      <c r="G80" s="10"/>
    </row>
    <row r="81" spans="6:7" x14ac:dyDescent="0.35">
      <c r="F81" s="1">
        <f>M6/F80</f>
        <v>2.5315099318233569E-2</v>
      </c>
      <c r="G81" s="1" t="s">
        <v>13</v>
      </c>
    </row>
  </sheetData>
  <sortState xmlns:xlrd2="http://schemas.microsoft.com/office/spreadsheetml/2017/richdata2" ref="B4:G78">
    <sortCondition ref="B4:B78"/>
    <sortCondition ref="C4:C78"/>
  </sortState>
  <mergeCells count="3">
    <mergeCell ref="B1:G1"/>
    <mergeCell ref="B2:G2"/>
    <mergeCell ref="J5:M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1E1D-6E07-46BD-AAF6-3A3C3D5D174B}">
  <dimension ref="A1"/>
  <sheetViews>
    <sheetView workbookViewId="0">
      <selection activeCell="P37" sqref="P3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Meter Reading Feb 2026</vt:lpstr>
      <vt:lpstr>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JS Harmony JSH</cp:lastModifiedBy>
  <dcterms:created xsi:type="dcterms:W3CDTF">2024-06-01T05:27:24Z</dcterms:created>
  <dcterms:modified xsi:type="dcterms:W3CDTF">2026-03-10T18:42:28Z</dcterms:modified>
</cp:coreProperties>
</file>