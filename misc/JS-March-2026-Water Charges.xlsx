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shraghuram/Downloads/"/>
    </mc:Choice>
  </mc:AlternateContent>
  <xr:revisionPtr revIDLastSave="0" documentId="13_ncr:1_{D0A00047-17D7-D04D-91A1-E755E009AEAB}" xr6:coauthVersionLast="47" xr6:coauthVersionMax="47" xr10:uidLastSave="{00000000-0000-0000-0000-000000000000}"/>
  <bookViews>
    <workbookView xWindow="0" yWindow="600" windowWidth="28800" windowHeight="16340" activeTab="1" xr2:uid="{4ED2546D-61CD-49C1-B287-C330B6241C73}"/>
  </bookViews>
  <sheets>
    <sheet name="Raw Data" sheetId="1" r:id="rId1"/>
    <sheet name="Water Charges March 2026 " sheetId="2" r:id="rId2"/>
  </sheets>
  <definedNames>
    <definedName name="_xlnm._FilterDatabase" localSheetId="0" hidden="1">'Raw Data'!$A$3:$I$3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E77" i="2"/>
  <c r="F77" i="2" s="1"/>
  <c r="E19" i="2"/>
  <c r="F19" i="2" s="1"/>
  <c r="E76" i="2"/>
  <c r="F76" i="2" s="1"/>
  <c r="E65" i="2"/>
  <c r="F65" i="2" s="1"/>
  <c r="E54" i="2"/>
  <c r="F54" i="2" s="1"/>
  <c r="E43" i="2"/>
  <c r="F43" i="2" s="1"/>
  <c r="E75" i="2"/>
  <c r="F75" i="2" s="1"/>
  <c r="E64" i="2"/>
  <c r="F64" i="2" s="1"/>
  <c r="E53" i="2"/>
  <c r="F53" i="2" s="1"/>
  <c r="E42" i="2"/>
  <c r="F42" i="2" s="1"/>
  <c r="E74" i="2"/>
  <c r="F74" i="2" s="1"/>
  <c r="E63" i="2"/>
  <c r="F63" i="2" s="1"/>
  <c r="E52" i="2"/>
  <c r="F52" i="2" s="1"/>
  <c r="E41" i="2"/>
  <c r="F41" i="2" s="1"/>
  <c r="E73" i="2"/>
  <c r="F73" i="2" s="1"/>
  <c r="E62" i="2"/>
  <c r="F62" i="2" s="1"/>
  <c r="E51" i="2"/>
  <c r="F51" i="2" s="1"/>
  <c r="E40" i="2"/>
  <c r="F40" i="2" s="1"/>
  <c r="E72" i="2"/>
  <c r="F72" i="2" s="1"/>
  <c r="E61" i="2"/>
  <c r="F61" i="2" s="1"/>
  <c r="E50" i="2"/>
  <c r="F50" i="2" s="1"/>
  <c r="E39" i="2"/>
  <c r="F39" i="2" s="1"/>
  <c r="E71" i="2"/>
  <c r="F71" i="2" s="1"/>
  <c r="E60" i="2"/>
  <c r="F60" i="2" s="1"/>
  <c r="E49" i="2"/>
  <c r="F49" i="2" s="1"/>
  <c r="E38" i="2"/>
  <c r="F38" i="2" s="1"/>
  <c r="E70" i="2"/>
  <c r="F70" i="2" s="1"/>
  <c r="E59" i="2"/>
  <c r="F59" i="2" s="1"/>
  <c r="E48" i="2"/>
  <c r="F48" i="2" s="1"/>
  <c r="E37" i="2"/>
  <c r="F37" i="2" s="1"/>
  <c r="E69" i="2"/>
  <c r="F69" i="2" s="1"/>
  <c r="E58" i="2"/>
  <c r="F58" i="2" s="1"/>
  <c r="E47" i="2"/>
  <c r="F47" i="2" s="1"/>
  <c r="E36" i="2"/>
  <c r="F36" i="2" s="1"/>
  <c r="E68" i="2"/>
  <c r="F68" i="2" s="1"/>
  <c r="E57" i="2"/>
  <c r="F57" i="2" s="1"/>
  <c r="E46" i="2"/>
  <c r="F46" i="2" s="1"/>
  <c r="E35" i="2"/>
  <c r="F35" i="2" s="1"/>
  <c r="E67" i="2"/>
  <c r="F67" i="2" s="1"/>
  <c r="E56" i="2"/>
  <c r="F56" i="2" s="1"/>
  <c r="E45" i="2"/>
  <c r="F45" i="2" s="1"/>
  <c r="E34" i="2"/>
  <c r="F34" i="2" s="1"/>
  <c r="E66" i="2"/>
  <c r="F66" i="2" s="1"/>
  <c r="E55" i="2"/>
  <c r="F55" i="2" s="1"/>
  <c r="E44" i="2"/>
  <c r="F44" i="2" s="1"/>
  <c r="E33" i="2"/>
  <c r="F33" i="2" s="1"/>
  <c r="E30" i="2"/>
  <c r="F30" i="2" s="1"/>
  <c r="E23" i="2"/>
  <c r="F23" i="2" s="1"/>
  <c r="E16" i="2"/>
  <c r="F16" i="2" s="1"/>
  <c r="E9" i="2"/>
  <c r="F9" i="2" s="1"/>
  <c r="E29" i="2"/>
  <c r="F29" i="2" s="1"/>
  <c r="E22" i="2"/>
  <c r="F22" i="2" s="1"/>
  <c r="E15" i="2"/>
  <c r="F15" i="2" s="1"/>
  <c r="E8" i="2"/>
  <c r="F8" i="2" s="1"/>
  <c r="E28" i="2"/>
  <c r="F28" i="2" s="1"/>
  <c r="E21" i="2"/>
  <c r="F21" i="2" s="1"/>
  <c r="E14" i="2"/>
  <c r="F14" i="2" s="1"/>
  <c r="E7" i="2"/>
  <c r="F7" i="2" s="1"/>
  <c r="E27" i="2"/>
  <c r="F27" i="2" s="1"/>
  <c r="E20" i="2"/>
  <c r="F20" i="2" s="1"/>
  <c r="E13" i="2"/>
  <c r="F13" i="2" s="1"/>
  <c r="E6" i="2"/>
  <c r="F6" i="2" s="1"/>
  <c r="E26" i="2"/>
  <c r="F26" i="2" s="1"/>
  <c r="E12" i="2"/>
  <c r="F12" i="2" s="1"/>
  <c r="E5" i="2"/>
  <c r="F5" i="2" s="1"/>
  <c r="E25" i="2"/>
  <c r="F25" i="2" s="1"/>
  <c r="E18" i="2"/>
  <c r="F18" i="2" s="1"/>
  <c r="E11" i="2"/>
  <c r="F11" i="2" s="1"/>
  <c r="E4" i="2"/>
  <c r="F4" i="2" s="1"/>
  <c r="E24" i="2"/>
  <c r="F24" i="2" s="1"/>
  <c r="E17" i="2"/>
  <c r="F17" i="2" s="1"/>
  <c r="E10" i="2"/>
  <c r="F10" i="2" s="1"/>
  <c r="E3" i="2"/>
  <c r="F3" i="2" s="1"/>
  <c r="E32" i="2"/>
  <c r="F32" i="2" s="1"/>
  <c r="E31" i="2"/>
  <c r="D5" i="1"/>
  <c r="E5" i="1" s="1"/>
  <c r="E78" i="2" l="1"/>
  <c r="F31" i="2"/>
  <c r="F78" i="2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4" i="1"/>
  <c r="E4" i="1" s="1"/>
  <c r="E79" i="1" l="1"/>
  <c r="D79" i="1"/>
</calcChain>
</file>

<file path=xl/sharedStrings.xml><?xml version="1.0" encoding="utf-8"?>
<sst xmlns="http://schemas.openxmlformats.org/spreadsheetml/2006/main" count="170" uniqueCount="90">
  <si>
    <t>Flat No</t>
  </si>
  <si>
    <t xml:space="preserve">Present reading </t>
  </si>
  <si>
    <t>Previous Reading</t>
  </si>
  <si>
    <t>Consumption</t>
  </si>
  <si>
    <t>JS Haromony</t>
  </si>
  <si>
    <t>A-Common</t>
  </si>
  <si>
    <t>A-G1</t>
  </si>
  <si>
    <t>A-101</t>
  </si>
  <si>
    <t>A-201</t>
  </si>
  <si>
    <t>A-301</t>
  </si>
  <si>
    <t>A-G2</t>
  </si>
  <si>
    <t>A-102</t>
  </si>
  <si>
    <t>A-202</t>
  </si>
  <si>
    <t>A-302</t>
  </si>
  <si>
    <t>A-G3</t>
  </si>
  <si>
    <t>A-103</t>
  </si>
  <si>
    <t>A-203</t>
  </si>
  <si>
    <t>A-303</t>
  </si>
  <si>
    <t>A-G4</t>
  </si>
  <si>
    <t>A-104</t>
  </si>
  <si>
    <t>A-204</t>
  </si>
  <si>
    <t>A-304</t>
  </si>
  <si>
    <t>A-G5</t>
  </si>
  <si>
    <t>A-105</t>
  </si>
  <si>
    <t>A-205</t>
  </si>
  <si>
    <t>A-305</t>
  </si>
  <si>
    <t>A-G6</t>
  </si>
  <si>
    <t>A-106</t>
  </si>
  <si>
    <t>A-206</t>
  </si>
  <si>
    <t>A-306</t>
  </si>
  <si>
    <t>A-G7</t>
  </si>
  <si>
    <t>A-107</t>
  </si>
  <si>
    <t>A-207</t>
  </si>
  <si>
    <t>A-307</t>
  </si>
  <si>
    <t>B-G1</t>
  </si>
  <si>
    <t>B-101</t>
  </si>
  <si>
    <t>B-102</t>
  </si>
  <si>
    <t>B-103</t>
  </si>
  <si>
    <t>B-201</t>
  </si>
  <si>
    <t>B-301</t>
  </si>
  <si>
    <t>B-G2</t>
  </si>
  <si>
    <t>B-202</t>
  </si>
  <si>
    <t>B-302</t>
  </si>
  <si>
    <t>B-G3</t>
  </si>
  <si>
    <t>B-203</t>
  </si>
  <si>
    <t>B-303</t>
  </si>
  <si>
    <t>B-G4</t>
  </si>
  <si>
    <t>B-104</t>
  </si>
  <si>
    <t>B-204</t>
  </si>
  <si>
    <t>B-304</t>
  </si>
  <si>
    <t>B-G5</t>
  </si>
  <si>
    <t>B-105</t>
  </si>
  <si>
    <t>B-205</t>
  </si>
  <si>
    <t>B-305</t>
  </si>
  <si>
    <t>B-Common</t>
  </si>
  <si>
    <t>B-G6</t>
  </si>
  <si>
    <t>B-106</t>
  </si>
  <si>
    <t>B-206</t>
  </si>
  <si>
    <t>B-306</t>
  </si>
  <si>
    <t>B-G7</t>
  </si>
  <si>
    <t>B-207</t>
  </si>
  <si>
    <t>B-307</t>
  </si>
  <si>
    <t>B-G8</t>
  </si>
  <si>
    <t>B-108</t>
  </si>
  <si>
    <t>B-208</t>
  </si>
  <si>
    <t>B-308</t>
  </si>
  <si>
    <t>B-G9</t>
  </si>
  <si>
    <t>B-109</t>
  </si>
  <si>
    <t>B-209</t>
  </si>
  <si>
    <t>B-309</t>
  </si>
  <si>
    <t>B-G10</t>
  </si>
  <si>
    <t>B-110</t>
  </si>
  <si>
    <t>B-210</t>
  </si>
  <si>
    <t>B-310</t>
  </si>
  <si>
    <t>B-G11</t>
  </si>
  <si>
    <t>B-111</t>
  </si>
  <si>
    <t>B-211</t>
  </si>
  <si>
    <t>B-311</t>
  </si>
  <si>
    <t>B-107</t>
  </si>
  <si>
    <t>Total</t>
  </si>
  <si>
    <t>Water charges</t>
  </si>
  <si>
    <t>A-Common-2</t>
  </si>
  <si>
    <t>Water meter Bills For March 2026</t>
  </si>
  <si>
    <t>Block</t>
  </si>
  <si>
    <t>A</t>
  </si>
  <si>
    <t>B</t>
  </si>
  <si>
    <t>Common</t>
  </si>
  <si>
    <t>JS Harmony Water Charges March 2026</t>
  </si>
  <si>
    <t xml:space="preserve">March 2026 Water Tank </t>
  </si>
  <si>
    <t xml:space="preserve">March 1-March 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</si>
</sst>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8EC20-4674-6C44-A010-35368BDEA04F}" name="Table1" displayName="Table1" ref="A2:F77" totalsRowShown="0" headerRowDxfId="0" dataDxfId="1" headerRowBorderDxfId="9" tableBorderDxfId="10" totalsRowBorderDxfId="8">
  <autoFilter ref="A2:F77" xr:uid="{1C38EC20-4674-6C44-A010-35368BDEA04F}"/>
  <sortState xmlns:xlrd2="http://schemas.microsoft.com/office/spreadsheetml/2017/richdata2" caseSensitive="1" ref="A3:F77">
    <sortCondition ref="A3:A77"/>
    <sortCondition ref="B3:B77"/>
  </sortState>
  <tableColumns count="6">
    <tableColumn id="2" xr3:uid="{1F4B22C0-E612-C741-8619-72BF7A52F2BE}" name="Block" dataDxfId="7"/>
    <tableColumn id="3" xr3:uid="{8E07D8FE-D263-6544-A8EB-28BBE730D786}" name="Flat No" dataDxfId="6"/>
    <tableColumn id="4" xr3:uid="{8B403688-2399-EB46-BE61-6D834112BBC3}" name="Present reading " dataDxfId="5"/>
    <tableColumn id="5" xr3:uid="{3F49BE8C-BBC8-6246-812B-F8EB95D508BC}" name="Previous Reading" dataDxfId="4"/>
    <tableColumn id="6" xr3:uid="{FE51D638-1D23-B646-84F5-58ED89621642}" name="Consumption" dataDxfId="3">
      <calculatedColumnFormula>C3-D3</calculatedColumnFormula>
    </tableColumn>
    <tableColumn id="7" xr3:uid="{63A180D5-2FF5-0B49-8B6B-66AADC5DE04B}" name="Water charges" dataDxfId="2">
      <calculatedColumnFormula>E3*0.15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5ED8-D852-4C96-B7F7-7CAC2AC1A161}">
  <dimension ref="A1:I79"/>
  <sheetViews>
    <sheetView topLeftCell="A44" zoomScale="115" zoomScaleNormal="115" workbookViewId="0">
      <selection activeCell="B55" sqref="A1:E79"/>
    </sheetView>
  </sheetViews>
  <sheetFormatPr baseColWidth="10" defaultColWidth="8.83203125" defaultRowHeight="15" x14ac:dyDescent="0.2"/>
  <cols>
    <col min="1" max="1" width="17.83203125" bestFit="1" customWidth="1"/>
    <col min="2" max="2" width="21.83203125" bestFit="1" customWidth="1"/>
    <col min="3" max="3" width="23.1640625" bestFit="1" customWidth="1"/>
    <col min="4" max="4" width="18" bestFit="1" customWidth="1"/>
    <col min="5" max="5" width="19.5" bestFit="1" customWidth="1"/>
  </cols>
  <sheetData>
    <row r="1" spans="1:5" ht="21" x14ac:dyDescent="0.25">
      <c r="A1" s="4" t="s">
        <v>4</v>
      </c>
      <c r="B1" s="4"/>
      <c r="C1" s="4"/>
      <c r="D1" s="4"/>
      <c r="E1" s="4"/>
    </row>
    <row r="2" spans="1:5" ht="21" x14ac:dyDescent="0.25">
      <c r="A2" s="4" t="s">
        <v>82</v>
      </c>
      <c r="B2" s="4"/>
      <c r="C2" s="4"/>
      <c r="D2" s="4"/>
      <c r="E2" s="4"/>
    </row>
    <row r="3" spans="1:5" ht="2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80</v>
      </c>
    </row>
    <row r="4" spans="1:5" ht="21" x14ac:dyDescent="0.25">
      <c r="A4" s="1" t="s">
        <v>5</v>
      </c>
      <c r="B4" s="1">
        <v>102420</v>
      </c>
      <c r="C4" s="1">
        <v>97410</v>
      </c>
      <c r="D4" s="1">
        <f>B4-C4</f>
        <v>5010</v>
      </c>
      <c r="E4" s="2">
        <f>D4*0.15</f>
        <v>751.5</v>
      </c>
    </row>
    <row r="5" spans="1:5" ht="21" x14ac:dyDescent="0.25">
      <c r="A5" s="1" t="s">
        <v>81</v>
      </c>
      <c r="B5" s="1">
        <v>55470</v>
      </c>
      <c r="C5" s="1">
        <v>55430</v>
      </c>
      <c r="D5" s="1">
        <f>B5-C5</f>
        <v>40</v>
      </c>
      <c r="E5" s="2">
        <f>D5*0.15</f>
        <v>6</v>
      </c>
    </row>
    <row r="6" spans="1:5" ht="21" x14ac:dyDescent="0.25">
      <c r="A6" s="1" t="s">
        <v>6</v>
      </c>
      <c r="B6" s="1">
        <v>282560</v>
      </c>
      <c r="C6" s="1">
        <v>270360</v>
      </c>
      <c r="D6" s="1">
        <f t="shared" ref="D6:D69" si="0">B6-C6</f>
        <v>12200</v>
      </c>
      <c r="E6" s="2">
        <f t="shared" ref="E6:E69" si="1">D6*0.15</f>
        <v>1830</v>
      </c>
    </row>
    <row r="7" spans="1:5" ht="21" x14ac:dyDescent="0.25">
      <c r="A7" s="1" t="s">
        <v>7</v>
      </c>
      <c r="B7" s="1">
        <v>214850</v>
      </c>
      <c r="C7" s="1">
        <v>201170</v>
      </c>
      <c r="D7" s="1">
        <f t="shared" si="0"/>
        <v>13680</v>
      </c>
      <c r="E7" s="2">
        <f t="shared" si="1"/>
        <v>2052</v>
      </c>
    </row>
    <row r="8" spans="1:5" ht="21" x14ac:dyDescent="0.25">
      <c r="A8" s="1" t="s">
        <v>8</v>
      </c>
      <c r="B8" s="1">
        <v>92050</v>
      </c>
      <c r="C8" s="1">
        <v>88430</v>
      </c>
      <c r="D8" s="1">
        <f t="shared" si="0"/>
        <v>3620</v>
      </c>
      <c r="E8" s="2">
        <f t="shared" si="1"/>
        <v>543</v>
      </c>
    </row>
    <row r="9" spans="1:5" ht="21" x14ac:dyDescent="0.25">
      <c r="A9" s="1" t="s">
        <v>9</v>
      </c>
      <c r="B9" s="1">
        <v>584240</v>
      </c>
      <c r="C9" s="1">
        <v>553660</v>
      </c>
      <c r="D9" s="1">
        <f t="shared" si="0"/>
        <v>30580</v>
      </c>
      <c r="E9" s="2">
        <f t="shared" si="1"/>
        <v>4587</v>
      </c>
    </row>
    <row r="10" spans="1:5" ht="21" x14ac:dyDescent="0.25">
      <c r="A10" s="1" t="s">
        <v>10</v>
      </c>
      <c r="B10" s="1">
        <v>10910</v>
      </c>
      <c r="C10" s="1">
        <v>10910</v>
      </c>
      <c r="D10" s="1">
        <f t="shared" si="0"/>
        <v>0</v>
      </c>
      <c r="E10" s="2">
        <f t="shared" si="1"/>
        <v>0</v>
      </c>
    </row>
    <row r="11" spans="1:5" ht="21" x14ac:dyDescent="0.25">
      <c r="A11" s="1" t="s">
        <v>11</v>
      </c>
      <c r="B11" s="1">
        <v>291540</v>
      </c>
      <c r="C11" s="1">
        <v>274330</v>
      </c>
      <c r="D11" s="1">
        <f t="shared" si="0"/>
        <v>17210</v>
      </c>
      <c r="E11" s="2">
        <f t="shared" si="1"/>
        <v>2581.5</v>
      </c>
    </row>
    <row r="12" spans="1:5" ht="21" x14ac:dyDescent="0.25">
      <c r="A12" s="1" t="s">
        <v>12</v>
      </c>
      <c r="B12" s="1">
        <v>175360</v>
      </c>
      <c r="C12" s="1">
        <v>168400</v>
      </c>
      <c r="D12" s="1">
        <f t="shared" si="0"/>
        <v>6960</v>
      </c>
      <c r="E12" s="2">
        <f t="shared" si="1"/>
        <v>1044</v>
      </c>
    </row>
    <row r="13" spans="1:5" ht="21" x14ac:dyDescent="0.25">
      <c r="A13" s="1" t="s">
        <v>13</v>
      </c>
      <c r="B13" s="1">
        <v>333790</v>
      </c>
      <c r="C13" s="1">
        <v>333330</v>
      </c>
      <c r="D13" s="1">
        <f t="shared" si="0"/>
        <v>460</v>
      </c>
      <c r="E13" s="2">
        <f t="shared" si="1"/>
        <v>69</v>
      </c>
    </row>
    <row r="14" spans="1:5" ht="21" x14ac:dyDescent="0.25">
      <c r="A14" s="1" t="s">
        <v>14</v>
      </c>
      <c r="B14" s="1">
        <v>311750</v>
      </c>
      <c r="C14" s="1">
        <v>297240</v>
      </c>
      <c r="D14" s="1">
        <f t="shared" si="0"/>
        <v>14510</v>
      </c>
      <c r="E14" s="2">
        <f t="shared" si="1"/>
        <v>2176.5</v>
      </c>
    </row>
    <row r="15" spans="1:5" ht="21" x14ac:dyDescent="0.25">
      <c r="A15" s="1" t="s">
        <v>15</v>
      </c>
      <c r="B15" s="1">
        <v>659000</v>
      </c>
      <c r="C15" s="1">
        <v>628710</v>
      </c>
      <c r="D15" s="1">
        <f t="shared" si="0"/>
        <v>30290</v>
      </c>
      <c r="E15" s="2">
        <f t="shared" si="1"/>
        <v>4543.5</v>
      </c>
    </row>
    <row r="16" spans="1:5" ht="21" x14ac:dyDescent="0.25">
      <c r="A16" s="1" t="s">
        <v>16</v>
      </c>
      <c r="B16" s="1">
        <v>165480</v>
      </c>
      <c r="C16" s="1">
        <v>162100</v>
      </c>
      <c r="D16" s="1">
        <f t="shared" si="0"/>
        <v>3380</v>
      </c>
      <c r="E16" s="2">
        <f t="shared" si="1"/>
        <v>507</v>
      </c>
    </row>
    <row r="17" spans="1:5" ht="21" x14ac:dyDescent="0.25">
      <c r="A17" s="1" t="s">
        <v>17</v>
      </c>
      <c r="B17" s="1">
        <v>121890</v>
      </c>
      <c r="C17" s="1">
        <v>113620</v>
      </c>
      <c r="D17" s="1">
        <f t="shared" si="0"/>
        <v>8270</v>
      </c>
      <c r="E17" s="2">
        <f t="shared" si="1"/>
        <v>1240.5</v>
      </c>
    </row>
    <row r="18" spans="1:5" ht="21" x14ac:dyDescent="0.25">
      <c r="A18" s="1" t="s">
        <v>18</v>
      </c>
      <c r="B18" s="1">
        <v>245070</v>
      </c>
      <c r="C18" s="1">
        <v>240220</v>
      </c>
      <c r="D18" s="1">
        <f t="shared" si="0"/>
        <v>4850</v>
      </c>
      <c r="E18" s="2">
        <f t="shared" si="1"/>
        <v>727.5</v>
      </c>
    </row>
    <row r="19" spans="1:5" ht="21" x14ac:dyDescent="0.25">
      <c r="A19" s="1" t="s">
        <v>19</v>
      </c>
      <c r="B19" s="1">
        <v>173990</v>
      </c>
      <c r="C19" s="1">
        <v>166310</v>
      </c>
      <c r="D19" s="1">
        <f t="shared" si="0"/>
        <v>7680</v>
      </c>
      <c r="E19" s="2">
        <f t="shared" si="1"/>
        <v>1152</v>
      </c>
    </row>
    <row r="20" spans="1:5" ht="21" x14ac:dyDescent="0.25">
      <c r="A20" s="1" t="s">
        <v>20</v>
      </c>
      <c r="B20" s="1">
        <v>175060</v>
      </c>
      <c r="C20" s="1">
        <v>174090</v>
      </c>
      <c r="D20" s="1">
        <f t="shared" si="0"/>
        <v>970</v>
      </c>
      <c r="E20" s="2">
        <f t="shared" si="1"/>
        <v>145.5</v>
      </c>
    </row>
    <row r="21" spans="1:5" ht="21" x14ac:dyDescent="0.25">
      <c r="A21" s="1" t="s">
        <v>21</v>
      </c>
      <c r="B21" s="1">
        <v>28140</v>
      </c>
      <c r="C21" s="1">
        <v>28140</v>
      </c>
      <c r="D21" s="1">
        <f t="shared" si="0"/>
        <v>0</v>
      </c>
      <c r="E21" s="2">
        <f t="shared" si="1"/>
        <v>0</v>
      </c>
    </row>
    <row r="22" spans="1:5" ht="21" x14ac:dyDescent="0.25">
      <c r="A22" s="1" t="s">
        <v>22</v>
      </c>
      <c r="B22" s="1">
        <v>329110</v>
      </c>
      <c r="C22" s="1">
        <v>301900</v>
      </c>
      <c r="D22" s="1">
        <f t="shared" si="0"/>
        <v>27210</v>
      </c>
      <c r="E22" s="2">
        <f t="shared" si="1"/>
        <v>4081.5</v>
      </c>
    </row>
    <row r="23" spans="1:5" ht="21" x14ac:dyDescent="0.25">
      <c r="A23" s="1" t="s">
        <v>23</v>
      </c>
      <c r="B23" s="1">
        <v>512790</v>
      </c>
      <c r="C23" s="1">
        <v>489230</v>
      </c>
      <c r="D23" s="1">
        <f t="shared" si="0"/>
        <v>23560</v>
      </c>
      <c r="E23" s="2">
        <f t="shared" si="1"/>
        <v>3534</v>
      </c>
    </row>
    <row r="24" spans="1:5" ht="21" x14ac:dyDescent="0.25">
      <c r="A24" s="1" t="s">
        <v>24</v>
      </c>
      <c r="B24" s="1">
        <v>158040</v>
      </c>
      <c r="C24" s="1">
        <v>149340</v>
      </c>
      <c r="D24" s="1">
        <f t="shared" si="0"/>
        <v>8700</v>
      </c>
      <c r="E24" s="2">
        <f t="shared" si="1"/>
        <v>1305</v>
      </c>
    </row>
    <row r="25" spans="1:5" ht="21" x14ac:dyDescent="0.25">
      <c r="A25" s="1" t="s">
        <v>25</v>
      </c>
      <c r="B25" s="1">
        <v>454910</v>
      </c>
      <c r="C25" s="1">
        <v>429540</v>
      </c>
      <c r="D25" s="1">
        <f t="shared" si="0"/>
        <v>25370</v>
      </c>
      <c r="E25" s="2">
        <f t="shared" si="1"/>
        <v>3805.5</v>
      </c>
    </row>
    <row r="26" spans="1:5" ht="21" x14ac:dyDescent="0.25">
      <c r="A26" s="1" t="s">
        <v>26</v>
      </c>
      <c r="B26" s="1">
        <v>274740</v>
      </c>
      <c r="C26" s="1">
        <v>261200</v>
      </c>
      <c r="D26" s="1">
        <f t="shared" si="0"/>
        <v>13540</v>
      </c>
      <c r="E26" s="2">
        <f t="shared" si="1"/>
        <v>2031</v>
      </c>
    </row>
    <row r="27" spans="1:5" ht="21" x14ac:dyDescent="0.25">
      <c r="A27" s="1" t="s">
        <v>27</v>
      </c>
      <c r="B27" s="1">
        <v>296910</v>
      </c>
      <c r="C27" s="1">
        <v>282860</v>
      </c>
      <c r="D27" s="1">
        <f t="shared" si="0"/>
        <v>14050</v>
      </c>
      <c r="E27" s="2">
        <f t="shared" si="1"/>
        <v>2107.5</v>
      </c>
    </row>
    <row r="28" spans="1:5" ht="21" x14ac:dyDescent="0.25">
      <c r="A28" s="1" t="s">
        <v>28</v>
      </c>
      <c r="B28" s="1">
        <v>360310</v>
      </c>
      <c r="C28" s="1">
        <v>342940</v>
      </c>
      <c r="D28" s="1">
        <f t="shared" si="0"/>
        <v>17370</v>
      </c>
      <c r="E28" s="2">
        <f t="shared" si="1"/>
        <v>2605.5</v>
      </c>
    </row>
    <row r="29" spans="1:5" ht="21" x14ac:dyDescent="0.25">
      <c r="A29" s="1" t="s">
        <v>29</v>
      </c>
      <c r="B29" s="1">
        <v>272020</v>
      </c>
      <c r="C29" s="1">
        <v>265650</v>
      </c>
      <c r="D29" s="1">
        <f t="shared" si="0"/>
        <v>6370</v>
      </c>
      <c r="E29" s="2">
        <f t="shared" si="1"/>
        <v>955.5</v>
      </c>
    </row>
    <row r="30" spans="1:5" ht="21" x14ac:dyDescent="0.25">
      <c r="A30" s="1" t="s">
        <v>30</v>
      </c>
      <c r="B30" s="1">
        <v>392810</v>
      </c>
      <c r="C30" s="1">
        <v>374490</v>
      </c>
      <c r="D30" s="1">
        <f t="shared" si="0"/>
        <v>18320</v>
      </c>
      <c r="E30" s="2">
        <f t="shared" si="1"/>
        <v>2748</v>
      </c>
    </row>
    <row r="31" spans="1:5" ht="21" x14ac:dyDescent="0.25">
      <c r="A31" s="1" t="s">
        <v>31</v>
      </c>
      <c r="B31" s="1">
        <v>436050</v>
      </c>
      <c r="C31" s="1">
        <v>422200</v>
      </c>
      <c r="D31" s="1">
        <f t="shared" si="0"/>
        <v>13850</v>
      </c>
      <c r="E31" s="2">
        <f t="shared" si="1"/>
        <v>2077.5</v>
      </c>
    </row>
    <row r="32" spans="1:5" ht="21" x14ac:dyDescent="0.25">
      <c r="A32" s="1" t="s">
        <v>32</v>
      </c>
      <c r="B32" s="1">
        <v>292940</v>
      </c>
      <c r="C32" s="1">
        <v>277020</v>
      </c>
      <c r="D32" s="1">
        <f t="shared" si="0"/>
        <v>15920</v>
      </c>
      <c r="E32" s="2">
        <f t="shared" si="1"/>
        <v>2388</v>
      </c>
    </row>
    <row r="33" spans="1:9" ht="21" x14ac:dyDescent="0.25">
      <c r="A33" s="1" t="s">
        <v>33</v>
      </c>
      <c r="B33" s="1">
        <v>114610</v>
      </c>
      <c r="C33" s="1">
        <v>106420</v>
      </c>
      <c r="D33" s="1">
        <f t="shared" si="0"/>
        <v>8190</v>
      </c>
      <c r="E33" s="2">
        <f t="shared" si="1"/>
        <v>1228.5</v>
      </c>
    </row>
    <row r="34" spans="1:9" ht="21" x14ac:dyDescent="0.25">
      <c r="A34" s="1" t="s">
        <v>34</v>
      </c>
      <c r="B34" s="1">
        <v>202040</v>
      </c>
      <c r="C34" s="1">
        <v>199670</v>
      </c>
      <c r="D34" s="1">
        <f t="shared" si="0"/>
        <v>2370</v>
      </c>
      <c r="E34" s="2">
        <f t="shared" si="1"/>
        <v>355.5</v>
      </c>
    </row>
    <row r="35" spans="1:9" ht="21" x14ac:dyDescent="0.25">
      <c r="A35" s="1" t="s">
        <v>35</v>
      </c>
      <c r="B35" s="1">
        <v>260660</v>
      </c>
      <c r="C35" s="1">
        <v>244140</v>
      </c>
      <c r="D35" s="1">
        <f t="shared" si="0"/>
        <v>16520</v>
      </c>
      <c r="E35" s="2">
        <f t="shared" si="1"/>
        <v>2478</v>
      </c>
    </row>
    <row r="36" spans="1:9" ht="21" x14ac:dyDescent="0.25">
      <c r="A36" s="1" t="s">
        <v>38</v>
      </c>
      <c r="B36" s="1">
        <v>221650</v>
      </c>
      <c r="C36" s="1">
        <v>208030</v>
      </c>
      <c r="D36" s="1">
        <f t="shared" si="0"/>
        <v>13620</v>
      </c>
      <c r="E36" s="2">
        <f t="shared" si="1"/>
        <v>2043</v>
      </c>
    </row>
    <row r="37" spans="1:9" ht="21" x14ac:dyDescent="0.25">
      <c r="A37" s="1" t="s">
        <v>39</v>
      </c>
      <c r="B37" s="1">
        <v>533790</v>
      </c>
      <c r="C37" s="1">
        <v>507770</v>
      </c>
      <c r="D37" s="1">
        <f t="shared" si="0"/>
        <v>26020</v>
      </c>
      <c r="E37" s="2">
        <f t="shared" si="1"/>
        <v>3903</v>
      </c>
      <c r="I37" s="3"/>
    </row>
    <row r="38" spans="1:9" ht="21" x14ac:dyDescent="0.25">
      <c r="A38" s="1" t="s">
        <v>40</v>
      </c>
      <c r="B38" s="1">
        <v>260810</v>
      </c>
      <c r="C38" s="1">
        <v>249930</v>
      </c>
      <c r="D38" s="1">
        <f t="shared" si="0"/>
        <v>10880</v>
      </c>
      <c r="E38" s="2">
        <f t="shared" si="1"/>
        <v>1632</v>
      </c>
    </row>
    <row r="39" spans="1:9" ht="21" x14ac:dyDescent="0.25">
      <c r="A39" s="1" t="s">
        <v>36</v>
      </c>
      <c r="B39" s="1">
        <v>205530</v>
      </c>
      <c r="C39" s="1">
        <v>191310</v>
      </c>
      <c r="D39" s="1">
        <f t="shared" si="0"/>
        <v>14220</v>
      </c>
      <c r="E39" s="2">
        <f t="shared" si="1"/>
        <v>2133</v>
      </c>
    </row>
    <row r="40" spans="1:9" ht="21" x14ac:dyDescent="0.25">
      <c r="A40" s="1" t="s">
        <v>41</v>
      </c>
      <c r="B40" s="1">
        <v>300640</v>
      </c>
      <c r="C40" s="1">
        <v>278290</v>
      </c>
      <c r="D40" s="1">
        <f t="shared" si="0"/>
        <v>22350</v>
      </c>
      <c r="E40" s="2">
        <f t="shared" si="1"/>
        <v>3352.5</v>
      </c>
    </row>
    <row r="41" spans="1:9" ht="21" x14ac:dyDescent="0.25">
      <c r="A41" s="1" t="s">
        <v>42</v>
      </c>
      <c r="B41" s="1">
        <v>177570</v>
      </c>
      <c r="C41" s="1">
        <v>169440</v>
      </c>
      <c r="D41" s="1">
        <f t="shared" si="0"/>
        <v>8130</v>
      </c>
      <c r="E41" s="2">
        <f t="shared" si="1"/>
        <v>1219.5</v>
      </c>
    </row>
    <row r="42" spans="1:9" ht="21" x14ac:dyDescent="0.25">
      <c r="A42" s="1" t="s">
        <v>43</v>
      </c>
      <c r="B42" s="1">
        <v>503870</v>
      </c>
      <c r="C42" s="1">
        <v>482780</v>
      </c>
      <c r="D42" s="1">
        <f t="shared" si="0"/>
        <v>21090</v>
      </c>
      <c r="E42" s="2">
        <f t="shared" si="1"/>
        <v>3163.5</v>
      </c>
    </row>
    <row r="43" spans="1:9" ht="21" x14ac:dyDescent="0.25">
      <c r="A43" s="1" t="s">
        <v>37</v>
      </c>
      <c r="B43" s="1">
        <v>82800</v>
      </c>
      <c r="C43" s="1">
        <v>76020</v>
      </c>
      <c r="D43" s="1">
        <f t="shared" si="0"/>
        <v>6780</v>
      </c>
      <c r="E43" s="2">
        <f t="shared" si="1"/>
        <v>1017</v>
      </c>
    </row>
    <row r="44" spans="1:9" ht="21" x14ac:dyDescent="0.25">
      <c r="A44" s="1" t="s">
        <v>44</v>
      </c>
      <c r="B44" s="1">
        <v>283680</v>
      </c>
      <c r="C44" s="1">
        <v>269900</v>
      </c>
      <c r="D44" s="1">
        <f t="shared" si="0"/>
        <v>13780</v>
      </c>
      <c r="E44" s="2">
        <f t="shared" si="1"/>
        <v>2067</v>
      </c>
    </row>
    <row r="45" spans="1:9" ht="21" x14ac:dyDescent="0.25">
      <c r="A45" s="1" t="s">
        <v>45</v>
      </c>
      <c r="B45" s="1">
        <v>101100</v>
      </c>
      <c r="C45" s="1">
        <v>101100</v>
      </c>
      <c r="D45" s="1">
        <f t="shared" si="0"/>
        <v>0</v>
      </c>
      <c r="E45" s="2">
        <f t="shared" si="1"/>
        <v>0</v>
      </c>
    </row>
    <row r="46" spans="1:9" ht="21" x14ac:dyDescent="0.25">
      <c r="A46" s="1" t="s">
        <v>46</v>
      </c>
      <c r="B46" s="1">
        <v>287420</v>
      </c>
      <c r="C46" s="1">
        <v>274680</v>
      </c>
      <c r="D46" s="1">
        <f t="shared" si="0"/>
        <v>12740</v>
      </c>
      <c r="E46" s="2">
        <f t="shared" si="1"/>
        <v>1911</v>
      </c>
    </row>
    <row r="47" spans="1:9" ht="21" x14ac:dyDescent="0.25">
      <c r="A47" s="1" t="s">
        <v>47</v>
      </c>
      <c r="B47" s="1">
        <v>28240</v>
      </c>
      <c r="C47" s="1">
        <v>26480</v>
      </c>
      <c r="D47" s="1">
        <f t="shared" si="0"/>
        <v>1760</v>
      </c>
      <c r="E47" s="2">
        <f t="shared" si="1"/>
        <v>264</v>
      </c>
    </row>
    <row r="48" spans="1:9" ht="21" x14ac:dyDescent="0.25">
      <c r="A48" s="1" t="s">
        <v>48</v>
      </c>
      <c r="B48" s="1">
        <v>65870</v>
      </c>
      <c r="C48" s="1">
        <v>65180</v>
      </c>
      <c r="D48" s="1">
        <f t="shared" si="0"/>
        <v>690</v>
      </c>
      <c r="E48" s="2">
        <f t="shared" si="1"/>
        <v>103.5</v>
      </c>
    </row>
    <row r="49" spans="1:5" ht="21" x14ac:dyDescent="0.25">
      <c r="A49" s="1" t="s">
        <v>49</v>
      </c>
      <c r="B49" s="1">
        <v>119720</v>
      </c>
      <c r="C49" s="1">
        <v>111280</v>
      </c>
      <c r="D49" s="1">
        <f t="shared" si="0"/>
        <v>8440</v>
      </c>
      <c r="E49" s="2">
        <f t="shared" si="1"/>
        <v>1266</v>
      </c>
    </row>
    <row r="50" spans="1:5" ht="21" x14ac:dyDescent="0.25">
      <c r="A50" s="1" t="s">
        <v>50</v>
      </c>
      <c r="B50" s="1">
        <v>399370</v>
      </c>
      <c r="C50" s="1">
        <v>378710</v>
      </c>
      <c r="D50" s="1">
        <f t="shared" si="0"/>
        <v>20660</v>
      </c>
      <c r="E50" s="2">
        <f t="shared" si="1"/>
        <v>3099</v>
      </c>
    </row>
    <row r="51" spans="1:5" ht="21" x14ac:dyDescent="0.25">
      <c r="A51" s="1" t="s">
        <v>51</v>
      </c>
      <c r="B51" s="1">
        <v>556840</v>
      </c>
      <c r="C51" s="1">
        <v>529890</v>
      </c>
      <c r="D51" s="1">
        <f t="shared" si="0"/>
        <v>26950</v>
      </c>
      <c r="E51" s="2">
        <f t="shared" si="1"/>
        <v>4042.5</v>
      </c>
    </row>
    <row r="52" spans="1:5" ht="21" x14ac:dyDescent="0.25">
      <c r="A52" s="1" t="s">
        <v>52</v>
      </c>
      <c r="B52" s="1">
        <v>238210</v>
      </c>
      <c r="C52" s="1">
        <v>219370</v>
      </c>
      <c r="D52" s="1">
        <f t="shared" si="0"/>
        <v>18840</v>
      </c>
      <c r="E52" s="2">
        <f t="shared" si="1"/>
        <v>2826</v>
      </c>
    </row>
    <row r="53" spans="1:5" ht="21" x14ac:dyDescent="0.25">
      <c r="A53" s="1" t="s">
        <v>53</v>
      </c>
      <c r="B53" s="1">
        <v>302860</v>
      </c>
      <c r="C53" s="1">
        <v>289220</v>
      </c>
      <c r="D53" s="1">
        <f t="shared" si="0"/>
        <v>13640</v>
      </c>
      <c r="E53" s="2">
        <f t="shared" si="1"/>
        <v>2046</v>
      </c>
    </row>
    <row r="54" spans="1:5" ht="21" x14ac:dyDescent="0.25">
      <c r="A54" s="1" t="s">
        <v>54</v>
      </c>
      <c r="B54" s="1">
        <v>72710</v>
      </c>
      <c r="C54" s="1">
        <v>72710</v>
      </c>
      <c r="D54" s="1">
        <f t="shared" si="0"/>
        <v>0</v>
      </c>
      <c r="E54" s="2">
        <f t="shared" si="1"/>
        <v>0</v>
      </c>
    </row>
    <row r="55" spans="1:5" ht="21" x14ac:dyDescent="0.25">
      <c r="A55" s="1" t="s">
        <v>55</v>
      </c>
      <c r="B55" s="1">
        <v>349860</v>
      </c>
      <c r="C55" s="1">
        <v>325720</v>
      </c>
      <c r="D55" s="1">
        <f t="shared" si="0"/>
        <v>24140</v>
      </c>
      <c r="E55" s="2">
        <f t="shared" si="1"/>
        <v>3621</v>
      </c>
    </row>
    <row r="56" spans="1:5" ht="21" x14ac:dyDescent="0.25">
      <c r="A56" s="1" t="s">
        <v>56</v>
      </c>
      <c r="B56" s="1">
        <v>150160</v>
      </c>
      <c r="C56" s="1">
        <v>141550</v>
      </c>
      <c r="D56" s="1">
        <f t="shared" si="0"/>
        <v>8610</v>
      </c>
      <c r="E56" s="2">
        <f t="shared" si="1"/>
        <v>1291.5</v>
      </c>
    </row>
    <row r="57" spans="1:5" ht="21" x14ac:dyDescent="0.25">
      <c r="A57" s="1" t="s">
        <v>57</v>
      </c>
      <c r="B57" s="1">
        <v>142980</v>
      </c>
      <c r="C57" s="1">
        <v>139880</v>
      </c>
      <c r="D57" s="1">
        <f t="shared" si="0"/>
        <v>3100</v>
      </c>
      <c r="E57" s="2">
        <f t="shared" si="1"/>
        <v>465</v>
      </c>
    </row>
    <row r="58" spans="1:5" ht="21" x14ac:dyDescent="0.25">
      <c r="A58" s="1" t="s">
        <v>58</v>
      </c>
      <c r="B58" s="1">
        <v>289780</v>
      </c>
      <c r="C58" s="1">
        <v>275930</v>
      </c>
      <c r="D58" s="1">
        <f t="shared" si="0"/>
        <v>13850</v>
      </c>
      <c r="E58" s="2">
        <f t="shared" si="1"/>
        <v>2077.5</v>
      </c>
    </row>
    <row r="59" spans="1:5" ht="21" x14ac:dyDescent="0.25">
      <c r="A59" s="1" t="s">
        <v>59</v>
      </c>
      <c r="B59" s="1">
        <v>423810</v>
      </c>
      <c r="C59" s="1">
        <v>403170</v>
      </c>
      <c r="D59" s="1">
        <f t="shared" si="0"/>
        <v>20640</v>
      </c>
      <c r="E59" s="2">
        <f t="shared" si="1"/>
        <v>3096</v>
      </c>
    </row>
    <row r="60" spans="1:5" ht="21" x14ac:dyDescent="0.25">
      <c r="A60" s="1" t="s">
        <v>78</v>
      </c>
      <c r="B60" s="1">
        <v>81400</v>
      </c>
      <c r="C60" s="1">
        <v>75340</v>
      </c>
      <c r="D60" s="1">
        <f t="shared" si="0"/>
        <v>6060</v>
      </c>
      <c r="E60" s="2">
        <f t="shared" si="1"/>
        <v>909</v>
      </c>
    </row>
    <row r="61" spans="1:5" ht="21" x14ac:dyDescent="0.25">
      <c r="A61" s="1" t="s">
        <v>60</v>
      </c>
      <c r="B61" s="1">
        <v>129610</v>
      </c>
      <c r="C61" s="1">
        <v>123440</v>
      </c>
      <c r="D61" s="1">
        <f t="shared" si="0"/>
        <v>6170</v>
      </c>
      <c r="E61" s="2">
        <f t="shared" si="1"/>
        <v>925.5</v>
      </c>
    </row>
    <row r="62" spans="1:5" ht="21" x14ac:dyDescent="0.25">
      <c r="A62" s="1" t="s">
        <v>61</v>
      </c>
      <c r="B62" s="1">
        <v>340170</v>
      </c>
      <c r="C62" s="1">
        <v>325770</v>
      </c>
      <c r="D62" s="1">
        <f t="shared" si="0"/>
        <v>14400</v>
      </c>
      <c r="E62" s="2">
        <f t="shared" si="1"/>
        <v>2160</v>
      </c>
    </row>
    <row r="63" spans="1:5" ht="21" x14ac:dyDescent="0.25">
      <c r="A63" s="1" t="s">
        <v>62</v>
      </c>
      <c r="B63" s="1">
        <v>173660</v>
      </c>
      <c r="C63" s="1">
        <v>167010</v>
      </c>
      <c r="D63" s="1">
        <f t="shared" si="0"/>
        <v>6650</v>
      </c>
      <c r="E63" s="2">
        <f t="shared" si="1"/>
        <v>997.5</v>
      </c>
    </row>
    <row r="64" spans="1:5" ht="21" x14ac:dyDescent="0.25">
      <c r="A64" s="1" t="s">
        <v>63</v>
      </c>
      <c r="B64" s="1">
        <v>502340</v>
      </c>
      <c r="C64" s="1">
        <v>469330</v>
      </c>
      <c r="D64" s="1">
        <f t="shared" si="0"/>
        <v>33010</v>
      </c>
      <c r="E64" s="2">
        <f t="shared" si="1"/>
        <v>4951.5</v>
      </c>
    </row>
    <row r="65" spans="1:5" ht="21" x14ac:dyDescent="0.25">
      <c r="A65" s="1" t="s">
        <v>64</v>
      </c>
      <c r="B65" s="1">
        <v>50520</v>
      </c>
      <c r="C65" s="1">
        <v>48270</v>
      </c>
      <c r="D65" s="1">
        <f t="shared" si="0"/>
        <v>2250</v>
      </c>
      <c r="E65" s="2">
        <f t="shared" si="1"/>
        <v>337.5</v>
      </c>
    </row>
    <row r="66" spans="1:5" ht="21" x14ac:dyDescent="0.25">
      <c r="A66" s="1" t="s">
        <v>65</v>
      </c>
      <c r="B66" s="1">
        <v>317420</v>
      </c>
      <c r="C66" s="1">
        <v>290810</v>
      </c>
      <c r="D66" s="1">
        <f t="shared" si="0"/>
        <v>26610</v>
      </c>
      <c r="E66" s="2">
        <f t="shared" si="1"/>
        <v>3991.5</v>
      </c>
    </row>
    <row r="67" spans="1:5" ht="21" x14ac:dyDescent="0.25">
      <c r="A67" s="1" t="s">
        <v>66</v>
      </c>
      <c r="B67" s="1">
        <v>270700</v>
      </c>
      <c r="C67" s="1">
        <v>256230</v>
      </c>
      <c r="D67" s="1">
        <f t="shared" si="0"/>
        <v>14470</v>
      </c>
      <c r="E67" s="2">
        <f t="shared" si="1"/>
        <v>2170.5</v>
      </c>
    </row>
    <row r="68" spans="1:5" ht="21" x14ac:dyDescent="0.25">
      <c r="A68" s="1" t="s">
        <v>67</v>
      </c>
      <c r="B68" s="1">
        <v>141150</v>
      </c>
      <c r="C68" s="1">
        <v>132810</v>
      </c>
      <c r="D68" s="1">
        <f t="shared" si="0"/>
        <v>8340</v>
      </c>
      <c r="E68" s="2">
        <f t="shared" si="1"/>
        <v>1251</v>
      </c>
    </row>
    <row r="69" spans="1:5" ht="21" x14ac:dyDescent="0.25">
      <c r="A69" s="1" t="s">
        <v>68</v>
      </c>
      <c r="B69" s="1">
        <v>250870</v>
      </c>
      <c r="C69" s="1">
        <v>239080</v>
      </c>
      <c r="D69" s="1">
        <f t="shared" si="0"/>
        <v>11790</v>
      </c>
      <c r="E69" s="2">
        <f t="shared" si="1"/>
        <v>1768.5</v>
      </c>
    </row>
    <row r="70" spans="1:5" ht="21" x14ac:dyDescent="0.25">
      <c r="A70" s="1" t="s">
        <v>69</v>
      </c>
      <c r="B70" s="1">
        <v>87970</v>
      </c>
      <c r="C70" s="1">
        <v>83850</v>
      </c>
      <c r="D70" s="1">
        <f t="shared" ref="D70:D78" si="2">B70-C70</f>
        <v>4120</v>
      </c>
      <c r="E70" s="2">
        <f t="shared" ref="E70:E78" si="3">D70*0.15</f>
        <v>618</v>
      </c>
    </row>
    <row r="71" spans="1:5" ht="21" x14ac:dyDescent="0.25">
      <c r="A71" s="1" t="s">
        <v>70</v>
      </c>
      <c r="B71" s="1">
        <v>320020</v>
      </c>
      <c r="C71" s="1">
        <v>306520</v>
      </c>
      <c r="D71" s="1">
        <f t="shared" si="2"/>
        <v>13500</v>
      </c>
      <c r="E71" s="2">
        <f t="shared" si="3"/>
        <v>2025</v>
      </c>
    </row>
    <row r="72" spans="1:5" ht="21" x14ac:dyDescent="0.25">
      <c r="A72" s="1" t="s">
        <v>71</v>
      </c>
      <c r="B72" s="1">
        <v>325110</v>
      </c>
      <c r="C72" s="1">
        <v>309690</v>
      </c>
      <c r="D72" s="1">
        <f t="shared" si="2"/>
        <v>15420</v>
      </c>
      <c r="E72" s="2">
        <f t="shared" si="3"/>
        <v>2313</v>
      </c>
    </row>
    <row r="73" spans="1:5" ht="21" x14ac:dyDescent="0.25">
      <c r="A73" s="1" t="s">
        <v>72</v>
      </c>
      <c r="B73" s="1">
        <v>264680</v>
      </c>
      <c r="C73" s="1">
        <v>258920</v>
      </c>
      <c r="D73" s="1">
        <f t="shared" si="2"/>
        <v>5760</v>
      </c>
      <c r="E73" s="2">
        <f t="shared" si="3"/>
        <v>864</v>
      </c>
    </row>
    <row r="74" spans="1:5" ht="21" x14ac:dyDescent="0.25">
      <c r="A74" s="1" t="s">
        <v>73</v>
      </c>
      <c r="B74" s="1">
        <v>163280</v>
      </c>
      <c r="C74" s="1">
        <v>155740</v>
      </c>
      <c r="D74" s="1">
        <f t="shared" si="2"/>
        <v>7540</v>
      </c>
      <c r="E74" s="2">
        <f t="shared" si="3"/>
        <v>1131</v>
      </c>
    </row>
    <row r="75" spans="1:5" ht="21" x14ac:dyDescent="0.25">
      <c r="A75" s="1" t="s">
        <v>74</v>
      </c>
      <c r="B75" s="1">
        <v>90060</v>
      </c>
      <c r="C75" s="1">
        <v>85920</v>
      </c>
      <c r="D75" s="1">
        <f t="shared" si="2"/>
        <v>4140</v>
      </c>
      <c r="E75" s="2">
        <f t="shared" si="3"/>
        <v>621</v>
      </c>
    </row>
    <row r="76" spans="1:5" ht="21" x14ac:dyDescent="0.25">
      <c r="A76" s="1" t="s">
        <v>75</v>
      </c>
      <c r="B76" s="1">
        <v>278570</v>
      </c>
      <c r="C76" s="1">
        <v>265900</v>
      </c>
      <c r="D76" s="1">
        <f t="shared" si="2"/>
        <v>12670</v>
      </c>
      <c r="E76" s="2">
        <f t="shared" si="3"/>
        <v>1900.5</v>
      </c>
    </row>
    <row r="77" spans="1:5" ht="21" x14ac:dyDescent="0.25">
      <c r="A77" s="1" t="s">
        <v>76</v>
      </c>
      <c r="B77" s="1">
        <v>364200</v>
      </c>
      <c r="C77" s="1">
        <v>342600</v>
      </c>
      <c r="D77" s="1">
        <f t="shared" si="2"/>
        <v>21600</v>
      </c>
      <c r="E77" s="2">
        <f t="shared" si="3"/>
        <v>3240</v>
      </c>
    </row>
    <row r="78" spans="1:5" ht="21" x14ac:dyDescent="0.25">
      <c r="A78" s="1" t="s">
        <v>77</v>
      </c>
      <c r="B78" s="1">
        <v>211290</v>
      </c>
      <c r="C78" s="1">
        <v>198620</v>
      </c>
      <c r="D78" s="1">
        <f t="shared" si="2"/>
        <v>12670</v>
      </c>
      <c r="E78" s="2">
        <f t="shared" si="3"/>
        <v>1900.5</v>
      </c>
    </row>
    <row r="79" spans="1:5" ht="21" x14ac:dyDescent="0.25">
      <c r="A79" s="4" t="s">
        <v>79</v>
      </c>
      <c r="B79" s="4"/>
      <c r="C79" s="4"/>
      <c r="D79" s="1">
        <f>SUM(D4:D78)</f>
        <v>909150</v>
      </c>
      <c r="E79" s="2">
        <f>SUM(E4:E78)</f>
        <v>136372.5</v>
      </c>
    </row>
  </sheetData>
  <mergeCells count="3">
    <mergeCell ref="A79:C79"/>
    <mergeCell ref="A2:E2"/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7575-6BFF-4FDF-B94D-3393E2F5C8F5}">
  <dimension ref="A1:L78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2" width="16" customWidth="1"/>
    <col min="3" max="3" width="22.1640625" customWidth="1"/>
    <col min="4" max="4" width="23.1640625" customWidth="1"/>
    <col min="5" max="5" width="18.6640625" customWidth="1"/>
    <col min="6" max="6" width="20" customWidth="1"/>
    <col min="9" max="9" width="16.83203125" bestFit="1" customWidth="1"/>
  </cols>
  <sheetData>
    <row r="1" spans="1:12" ht="19" x14ac:dyDescent="0.25">
      <c r="A1" s="16" t="s">
        <v>87</v>
      </c>
      <c r="B1" s="16"/>
      <c r="C1" s="16"/>
      <c r="D1" s="16"/>
      <c r="E1" s="16"/>
      <c r="F1" s="16"/>
    </row>
    <row r="2" spans="1:12" ht="19" x14ac:dyDescent="0.2">
      <c r="A2" s="17" t="s">
        <v>83</v>
      </c>
      <c r="B2" s="17" t="s">
        <v>0</v>
      </c>
      <c r="C2" s="17" t="s">
        <v>1</v>
      </c>
      <c r="D2" s="17" t="s">
        <v>2</v>
      </c>
      <c r="E2" s="17" t="s">
        <v>3</v>
      </c>
      <c r="F2" s="18" t="s">
        <v>80</v>
      </c>
    </row>
    <row r="3" spans="1:12" ht="19" x14ac:dyDescent="0.2">
      <c r="A3" s="5" t="s">
        <v>84</v>
      </c>
      <c r="B3" s="5">
        <v>1</v>
      </c>
      <c r="C3" s="5">
        <v>282560</v>
      </c>
      <c r="D3" s="5">
        <v>270360</v>
      </c>
      <c r="E3" s="5">
        <f>C3-D3</f>
        <v>12200</v>
      </c>
      <c r="F3" s="6">
        <f>E3*0.15</f>
        <v>1830</v>
      </c>
    </row>
    <row r="4" spans="1:12" ht="19" x14ac:dyDescent="0.2">
      <c r="A4" s="5" t="s">
        <v>84</v>
      </c>
      <c r="B4" s="5">
        <v>2</v>
      </c>
      <c r="C4" s="5">
        <v>10910</v>
      </c>
      <c r="D4" s="5">
        <v>10910</v>
      </c>
      <c r="E4" s="5">
        <f>C4-D4</f>
        <v>0</v>
      </c>
      <c r="F4" s="6">
        <f>E4*0.15</f>
        <v>0</v>
      </c>
    </row>
    <row r="5" spans="1:12" ht="19" x14ac:dyDescent="0.2">
      <c r="A5" s="5" t="s">
        <v>84</v>
      </c>
      <c r="B5" s="5">
        <v>3</v>
      </c>
      <c r="C5" s="5">
        <v>311750</v>
      </c>
      <c r="D5" s="5">
        <v>297240</v>
      </c>
      <c r="E5" s="5">
        <f>C5-D5</f>
        <v>14510</v>
      </c>
      <c r="F5" s="6">
        <f>E5*0.15</f>
        <v>2176.5</v>
      </c>
      <c r="I5" s="12" t="s">
        <v>88</v>
      </c>
      <c r="J5" s="13"/>
      <c r="K5" s="13"/>
      <c r="L5" s="14"/>
    </row>
    <row r="6" spans="1:12" ht="19" x14ac:dyDescent="0.2">
      <c r="A6" s="5" t="s">
        <v>84</v>
      </c>
      <c r="B6" s="5">
        <v>4</v>
      </c>
      <c r="C6" s="5">
        <v>245070</v>
      </c>
      <c r="D6" s="5">
        <v>240220</v>
      </c>
      <c r="E6" s="5">
        <f>C6-D6</f>
        <v>4850</v>
      </c>
      <c r="F6" s="6">
        <f>E6*0.15</f>
        <v>727.5</v>
      </c>
      <c r="I6" s="15" t="s">
        <v>89</v>
      </c>
      <c r="J6" s="15">
        <v>40</v>
      </c>
      <c r="K6" s="15">
        <v>675</v>
      </c>
      <c r="L6" s="15">
        <f>SUM(J6*K6)</f>
        <v>27000</v>
      </c>
    </row>
    <row r="7" spans="1:12" ht="19" x14ac:dyDescent="0.2">
      <c r="A7" s="5" t="s">
        <v>84</v>
      </c>
      <c r="B7" s="5">
        <v>5</v>
      </c>
      <c r="C7" s="5">
        <v>329110</v>
      </c>
      <c r="D7" s="5">
        <v>301900</v>
      </c>
      <c r="E7" s="5">
        <f>C7-D7</f>
        <v>27210</v>
      </c>
      <c r="F7" s="6">
        <f>E7*0.15</f>
        <v>4081.5</v>
      </c>
    </row>
    <row r="8" spans="1:12" ht="19" x14ac:dyDescent="0.2">
      <c r="A8" s="5" t="s">
        <v>84</v>
      </c>
      <c r="B8" s="5">
        <v>6</v>
      </c>
      <c r="C8" s="5">
        <v>274740</v>
      </c>
      <c r="D8" s="5">
        <v>261200</v>
      </c>
      <c r="E8" s="5">
        <f>C8-D8</f>
        <v>13540</v>
      </c>
      <c r="F8" s="6">
        <f>E8*0.15</f>
        <v>2031</v>
      </c>
    </row>
    <row r="9" spans="1:12" ht="19" x14ac:dyDescent="0.2">
      <c r="A9" s="5" t="s">
        <v>84</v>
      </c>
      <c r="B9" s="5">
        <v>7</v>
      </c>
      <c r="C9" s="5">
        <v>392810</v>
      </c>
      <c r="D9" s="5">
        <v>374490</v>
      </c>
      <c r="E9" s="5">
        <f>C9-D9</f>
        <v>18320</v>
      </c>
      <c r="F9" s="6">
        <f>E9*0.15</f>
        <v>2748</v>
      </c>
    </row>
    <row r="10" spans="1:12" ht="19" x14ac:dyDescent="0.2">
      <c r="A10" s="5" t="s">
        <v>84</v>
      </c>
      <c r="B10" s="5">
        <v>101</v>
      </c>
      <c r="C10" s="5">
        <v>214850</v>
      </c>
      <c r="D10" s="5">
        <v>201170</v>
      </c>
      <c r="E10" s="5">
        <f>C10-D10</f>
        <v>13680</v>
      </c>
      <c r="F10" s="6">
        <f>E10*0.15</f>
        <v>2052</v>
      </c>
    </row>
    <row r="11" spans="1:12" ht="19" x14ac:dyDescent="0.2">
      <c r="A11" s="5" t="s">
        <v>84</v>
      </c>
      <c r="B11" s="5">
        <v>102</v>
      </c>
      <c r="C11" s="5">
        <v>291540</v>
      </c>
      <c r="D11" s="5">
        <v>274330</v>
      </c>
      <c r="E11" s="5">
        <f>C11-D11</f>
        <v>17210</v>
      </c>
      <c r="F11" s="6">
        <f>E11*0.15</f>
        <v>2581.5</v>
      </c>
    </row>
    <row r="12" spans="1:12" ht="19" x14ac:dyDescent="0.2">
      <c r="A12" s="5" t="s">
        <v>84</v>
      </c>
      <c r="B12" s="5">
        <v>103</v>
      </c>
      <c r="C12" s="5">
        <v>659000</v>
      </c>
      <c r="D12" s="5">
        <v>628710</v>
      </c>
      <c r="E12" s="5">
        <f>C12-D12</f>
        <v>30290</v>
      </c>
      <c r="F12" s="6">
        <f>E12*0.15</f>
        <v>4543.5</v>
      </c>
    </row>
    <row r="13" spans="1:12" ht="19" x14ac:dyDescent="0.2">
      <c r="A13" s="5" t="s">
        <v>84</v>
      </c>
      <c r="B13" s="5">
        <v>104</v>
      </c>
      <c r="C13" s="5">
        <v>173990</v>
      </c>
      <c r="D13" s="5">
        <v>166310</v>
      </c>
      <c r="E13" s="5">
        <f>C13-D13</f>
        <v>7680</v>
      </c>
      <c r="F13" s="6">
        <f>E13*0.15</f>
        <v>1152</v>
      </c>
    </row>
    <row r="14" spans="1:12" ht="19" x14ac:dyDescent="0.2">
      <c r="A14" s="5" t="s">
        <v>84</v>
      </c>
      <c r="B14" s="5">
        <v>105</v>
      </c>
      <c r="C14" s="5">
        <v>512790</v>
      </c>
      <c r="D14" s="5">
        <v>489230</v>
      </c>
      <c r="E14" s="5">
        <f>C14-D14</f>
        <v>23560</v>
      </c>
      <c r="F14" s="6">
        <f>E14*0.15</f>
        <v>3534</v>
      </c>
    </row>
    <row r="15" spans="1:12" ht="19" x14ac:dyDescent="0.2">
      <c r="A15" s="5" t="s">
        <v>84</v>
      </c>
      <c r="B15" s="5">
        <v>106</v>
      </c>
      <c r="C15" s="5">
        <v>296910</v>
      </c>
      <c r="D15" s="5">
        <v>282860</v>
      </c>
      <c r="E15" s="5">
        <f>C15-D15</f>
        <v>14050</v>
      </c>
      <c r="F15" s="6">
        <f>E15*0.15</f>
        <v>2107.5</v>
      </c>
    </row>
    <row r="16" spans="1:12" ht="19" x14ac:dyDescent="0.2">
      <c r="A16" s="5" t="s">
        <v>84</v>
      </c>
      <c r="B16" s="5">
        <v>107</v>
      </c>
      <c r="C16" s="5">
        <v>436050</v>
      </c>
      <c r="D16" s="5">
        <v>422200</v>
      </c>
      <c r="E16" s="5">
        <f>C16-D16</f>
        <v>13850</v>
      </c>
      <c r="F16" s="6">
        <f>E16*0.15</f>
        <v>2077.5</v>
      </c>
    </row>
    <row r="17" spans="1:6" ht="19" x14ac:dyDescent="0.2">
      <c r="A17" s="5" t="s">
        <v>84</v>
      </c>
      <c r="B17" s="5">
        <v>201</v>
      </c>
      <c r="C17" s="5">
        <v>92050</v>
      </c>
      <c r="D17" s="5">
        <v>88430</v>
      </c>
      <c r="E17" s="5">
        <f>C17-D17</f>
        <v>3620</v>
      </c>
      <c r="F17" s="6">
        <f>E17*0.15</f>
        <v>543</v>
      </c>
    </row>
    <row r="18" spans="1:6" ht="19" x14ac:dyDescent="0.2">
      <c r="A18" s="5" t="s">
        <v>84</v>
      </c>
      <c r="B18" s="5">
        <v>202</v>
      </c>
      <c r="C18" s="5">
        <v>175360</v>
      </c>
      <c r="D18" s="5">
        <v>168400</v>
      </c>
      <c r="E18" s="5">
        <f>C18-D18</f>
        <v>6960</v>
      </c>
      <c r="F18" s="6">
        <f>E18*0.15</f>
        <v>1044</v>
      </c>
    </row>
    <row r="19" spans="1:6" ht="19" x14ac:dyDescent="0.2">
      <c r="A19" s="9" t="s">
        <v>84</v>
      </c>
      <c r="B19" s="9">
        <v>203</v>
      </c>
      <c r="C19" s="10">
        <v>72710</v>
      </c>
      <c r="D19" s="10">
        <v>72710</v>
      </c>
      <c r="E19" s="10">
        <f>C19-D19</f>
        <v>0</v>
      </c>
      <c r="F19" s="11">
        <f>E19*0.15</f>
        <v>0</v>
      </c>
    </row>
    <row r="20" spans="1:6" ht="19" x14ac:dyDescent="0.2">
      <c r="A20" s="5" t="s">
        <v>84</v>
      </c>
      <c r="B20" s="5">
        <v>204</v>
      </c>
      <c r="C20" s="5">
        <v>175060</v>
      </c>
      <c r="D20" s="5">
        <v>174090</v>
      </c>
      <c r="E20" s="5">
        <f>C20-D20</f>
        <v>970</v>
      </c>
      <c r="F20" s="6">
        <f>E20*0.15</f>
        <v>145.5</v>
      </c>
    </row>
    <row r="21" spans="1:6" ht="19" x14ac:dyDescent="0.2">
      <c r="A21" s="5" t="s">
        <v>84</v>
      </c>
      <c r="B21" s="5">
        <v>205</v>
      </c>
      <c r="C21" s="5">
        <v>158040</v>
      </c>
      <c r="D21" s="5">
        <v>149340</v>
      </c>
      <c r="E21" s="5">
        <f>C21-D21</f>
        <v>8700</v>
      </c>
      <c r="F21" s="6">
        <f>E21*0.15</f>
        <v>1305</v>
      </c>
    </row>
    <row r="22" spans="1:6" ht="19" x14ac:dyDescent="0.2">
      <c r="A22" s="5" t="s">
        <v>84</v>
      </c>
      <c r="B22" s="5">
        <v>206</v>
      </c>
      <c r="C22" s="5">
        <v>360310</v>
      </c>
      <c r="D22" s="5">
        <v>342940</v>
      </c>
      <c r="E22" s="5">
        <f>C22-D22</f>
        <v>17370</v>
      </c>
      <c r="F22" s="6">
        <f>E22*0.15</f>
        <v>2605.5</v>
      </c>
    </row>
    <row r="23" spans="1:6" ht="19" x14ac:dyDescent="0.2">
      <c r="A23" s="5" t="s">
        <v>84</v>
      </c>
      <c r="B23" s="5">
        <v>207</v>
      </c>
      <c r="C23" s="5">
        <v>292940</v>
      </c>
      <c r="D23" s="5">
        <v>277020</v>
      </c>
      <c r="E23" s="5">
        <f>C23-D23</f>
        <v>15920</v>
      </c>
      <c r="F23" s="6">
        <f>E23*0.15</f>
        <v>2388</v>
      </c>
    </row>
    <row r="24" spans="1:6" ht="19" x14ac:dyDescent="0.2">
      <c r="A24" s="5" t="s">
        <v>84</v>
      </c>
      <c r="B24" s="5">
        <v>301</v>
      </c>
      <c r="C24" s="5">
        <v>584240</v>
      </c>
      <c r="D24" s="5">
        <v>553660</v>
      </c>
      <c r="E24" s="5">
        <f>C24-D24</f>
        <v>30580</v>
      </c>
      <c r="F24" s="6">
        <f>E24*0.15</f>
        <v>4587</v>
      </c>
    </row>
    <row r="25" spans="1:6" ht="19" x14ac:dyDescent="0.2">
      <c r="A25" s="5" t="s">
        <v>84</v>
      </c>
      <c r="B25" s="5">
        <v>302</v>
      </c>
      <c r="C25" s="5">
        <v>333790</v>
      </c>
      <c r="D25" s="5">
        <v>333330</v>
      </c>
      <c r="E25" s="5">
        <f>C25-D25</f>
        <v>460</v>
      </c>
      <c r="F25" s="6">
        <f>E25*0.15</f>
        <v>69</v>
      </c>
    </row>
    <row r="26" spans="1:6" ht="19" x14ac:dyDescent="0.2">
      <c r="A26" s="5" t="s">
        <v>84</v>
      </c>
      <c r="B26" s="5">
        <v>303</v>
      </c>
      <c r="C26" s="5">
        <v>121890</v>
      </c>
      <c r="D26" s="5">
        <v>113620</v>
      </c>
      <c r="E26" s="5">
        <f>C26-D26</f>
        <v>8270</v>
      </c>
      <c r="F26" s="6">
        <f>E26*0.15</f>
        <v>1240.5</v>
      </c>
    </row>
    <row r="27" spans="1:6" ht="19" x14ac:dyDescent="0.2">
      <c r="A27" s="5" t="s">
        <v>84</v>
      </c>
      <c r="B27" s="5">
        <v>304</v>
      </c>
      <c r="C27" s="5">
        <v>28140</v>
      </c>
      <c r="D27" s="5">
        <v>28140</v>
      </c>
      <c r="E27" s="5">
        <f>C27-D27</f>
        <v>0</v>
      </c>
      <c r="F27" s="6">
        <f>E27*0.15</f>
        <v>0</v>
      </c>
    </row>
    <row r="28" spans="1:6" ht="19" x14ac:dyDescent="0.2">
      <c r="A28" s="5" t="s">
        <v>84</v>
      </c>
      <c r="B28" s="5">
        <v>305</v>
      </c>
      <c r="C28" s="5">
        <v>454910</v>
      </c>
      <c r="D28" s="5">
        <v>429540</v>
      </c>
      <c r="E28" s="5">
        <f>C28-D28</f>
        <v>25370</v>
      </c>
      <c r="F28" s="6">
        <f>E28*0.15</f>
        <v>3805.5</v>
      </c>
    </row>
    <row r="29" spans="1:6" ht="19" x14ac:dyDescent="0.2">
      <c r="A29" s="5" t="s">
        <v>84</v>
      </c>
      <c r="B29" s="5">
        <v>306</v>
      </c>
      <c r="C29" s="5">
        <v>272020</v>
      </c>
      <c r="D29" s="5">
        <v>265650</v>
      </c>
      <c r="E29" s="5">
        <f>C29-D29</f>
        <v>6370</v>
      </c>
      <c r="F29" s="6">
        <f>E29*0.15</f>
        <v>955.5</v>
      </c>
    </row>
    <row r="30" spans="1:6" ht="19" x14ac:dyDescent="0.2">
      <c r="A30" s="5" t="s">
        <v>84</v>
      </c>
      <c r="B30" s="5">
        <v>307</v>
      </c>
      <c r="C30" s="5">
        <v>114610</v>
      </c>
      <c r="D30" s="5">
        <v>106420</v>
      </c>
      <c r="E30" s="5">
        <f>C30-D30</f>
        <v>8190</v>
      </c>
      <c r="F30" s="6">
        <f>E30*0.15</f>
        <v>1228.5</v>
      </c>
    </row>
    <row r="31" spans="1:6" ht="19" x14ac:dyDescent="0.2">
      <c r="A31" s="5" t="s">
        <v>84</v>
      </c>
      <c r="B31" s="5" t="s">
        <v>86</v>
      </c>
      <c r="C31" s="5">
        <v>102420</v>
      </c>
      <c r="D31" s="5">
        <v>97410</v>
      </c>
      <c r="E31" s="5">
        <f>C31-D31</f>
        <v>5010</v>
      </c>
      <c r="F31" s="6">
        <f>E31*0.15</f>
        <v>751.5</v>
      </c>
    </row>
    <row r="32" spans="1:6" ht="19" x14ac:dyDescent="0.2">
      <c r="A32" s="5" t="s">
        <v>84</v>
      </c>
      <c r="B32" s="5" t="s">
        <v>86</v>
      </c>
      <c r="C32" s="5">
        <v>55470</v>
      </c>
      <c r="D32" s="5">
        <v>55430</v>
      </c>
      <c r="E32" s="5">
        <f>C32-D32</f>
        <v>40</v>
      </c>
      <c r="F32" s="6">
        <f>E32*0.15</f>
        <v>6</v>
      </c>
    </row>
    <row r="33" spans="1:6" ht="19" x14ac:dyDescent="0.2">
      <c r="A33" s="5" t="s">
        <v>85</v>
      </c>
      <c r="B33" s="5">
        <v>1</v>
      </c>
      <c r="C33" s="5">
        <v>202040</v>
      </c>
      <c r="D33" s="5">
        <v>199670</v>
      </c>
      <c r="E33" s="5">
        <f>C33-D33</f>
        <v>2370</v>
      </c>
      <c r="F33" s="6">
        <f>E33*0.15</f>
        <v>355.5</v>
      </c>
    </row>
    <row r="34" spans="1:6" ht="19" x14ac:dyDescent="0.2">
      <c r="A34" s="5" t="s">
        <v>85</v>
      </c>
      <c r="B34" s="5">
        <v>2</v>
      </c>
      <c r="C34" s="5">
        <v>260810</v>
      </c>
      <c r="D34" s="5">
        <v>249930</v>
      </c>
      <c r="E34" s="5">
        <f>C34-D34</f>
        <v>10880</v>
      </c>
      <c r="F34" s="6">
        <f>E34*0.15</f>
        <v>1632</v>
      </c>
    </row>
    <row r="35" spans="1:6" ht="19" x14ac:dyDescent="0.2">
      <c r="A35" s="5" t="s">
        <v>85</v>
      </c>
      <c r="B35" s="5">
        <v>3</v>
      </c>
      <c r="C35" s="5">
        <v>503870</v>
      </c>
      <c r="D35" s="5">
        <v>482780</v>
      </c>
      <c r="E35" s="5">
        <f>C35-D35</f>
        <v>21090</v>
      </c>
      <c r="F35" s="6">
        <f>E35*0.15</f>
        <v>3163.5</v>
      </c>
    </row>
    <row r="36" spans="1:6" ht="19" x14ac:dyDescent="0.2">
      <c r="A36" s="5" t="s">
        <v>85</v>
      </c>
      <c r="B36" s="5">
        <v>4</v>
      </c>
      <c r="C36" s="5">
        <v>287420</v>
      </c>
      <c r="D36" s="5">
        <v>274680</v>
      </c>
      <c r="E36" s="5">
        <f>C36-D36</f>
        <v>12740</v>
      </c>
      <c r="F36" s="6">
        <f>E36*0.15</f>
        <v>1911</v>
      </c>
    </row>
    <row r="37" spans="1:6" ht="19" x14ac:dyDescent="0.2">
      <c r="A37" s="5" t="s">
        <v>85</v>
      </c>
      <c r="B37" s="5">
        <v>5</v>
      </c>
      <c r="C37" s="5">
        <v>399370</v>
      </c>
      <c r="D37" s="5">
        <v>378710</v>
      </c>
      <c r="E37" s="5">
        <f>C37-D37</f>
        <v>20660</v>
      </c>
      <c r="F37" s="6">
        <f>E37*0.15</f>
        <v>3099</v>
      </c>
    </row>
    <row r="38" spans="1:6" ht="19" x14ac:dyDescent="0.2">
      <c r="A38" s="5" t="s">
        <v>85</v>
      </c>
      <c r="B38" s="5">
        <v>6</v>
      </c>
      <c r="C38" s="5">
        <v>349860</v>
      </c>
      <c r="D38" s="5">
        <v>325720</v>
      </c>
      <c r="E38" s="5">
        <f>C38-D38</f>
        <v>24140</v>
      </c>
      <c r="F38" s="6">
        <f>E38*0.15</f>
        <v>3621</v>
      </c>
    </row>
    <row r="39" spans="1:6" ht="19" x14ac:dyDescent="0.2">
      <c r="A39" s="5" t="s">
        <v>85</v>
      </c>
      <c r="B39" s="5">
        <v>7</v>
      </c>
      <c r="C39" s="5">
        <v>423810</v>
      </c>
      <c r="D39" s="5">
        <v>403170</v>
      </c>
      <c r="E39" s="5">
        <f>C39-D39</f>
        <v>20640</v>
      </c>
      <c r="F39" s="6">
        <f>E39*0.15</f>
        <v>3096</v>
      </c>
    </row>
    <row r="40" spans="1:6" ht="19" x14ac:dyDescent="0.2">
      <c r="A40" s="5" t="s">
        <v>85</v>
      </c>
      <c r="B40" s="5">
        <v>8</v>
      </c>
      <c r="C40" s="5">
        <v>173660</v>
      </c>
      <c r="D40" s="5">
        <v>167010</v>
      </c>
      <c r="E40" s="5">
        <f>C40-D40</f>
        <v>6650</v>
      </c>
      <c r="F40" s="6">
        <f>E40*0.15</f>
        <v>997.5</v>
      </c>
    </row>
    <row r="41" spans="1:6" ht="19" x14ac:dyDescent="0.2">
      <c r="A41" s="5" t="s">
        <v>85</v>
      </c>
      <c r="B41" s="5">
        <v>9</v>
      </c>
      <c r="C41" s="5">
        <v>270700</v>
      </c>
      <c r="D41" s="5">
        <v>256230</v>
      </c>
      <c r="E41" s="5">
        <f>C41-D41</f>
        <v>14470</v>
      </c>
      <c r="F41" s="6">
        <f>E41*0.15</f>
        <v>2170.5</v>
      </c>
    </row>
    <row r="42" spans="1:6" ht="19" x14ac:dyDescent="0.2">
      <c r="A42" s="5" t="s">
        <v>85</v>
      </c>
      <c r="B42" s="5">
        <v>10</v>
      </c>
      <c r="C42" s="5">
        <v>320020</v>
      </c>
      <c r="D42" s="5">
        <v>306520</v>
      </c>
      <c r="E42" s="5">
        <f>C42-D42</f>
        <v>13500</v>
      </c>
      <c r="F42" s="6">
        <f>E42*0.15</f>
        <v>2025</v>
      </c>
    </row>
    <row r="43" spans="1:6" ht="19" x14ac:dyDescent="0.2">
      <c r="A43" s="5" t="s">
        <v>85</v>
      </c>
      <c r="B43" s="5">
        <v>11</v>
      </c>
      <c r="C43" s="5">
        <v>90060</v>
      </c>
      <c r="D43" s="5">
        <v>85920</v>
      </c>
      <c r="E43" s="5">
        <f>C43-D43</f>
        <v>4140</v>
      </c>
      <c r="F43" s="6">
        <f>E43*0.15</f>
        <v>621</v>
      </c>
    </row>
    <row r="44" spans="1:6" ht="19" x14ac:dyDescent="0.2">
      <c r="A44" s="5" t="s">
        <v>85</v>
      </c>
      <c r="B44" s="5">
        <v>101</v>
      </c>
      <c r="C44" s="5">
        <v>260660</v>
      </c>
      <c r="D44" s="5">
        <v>244140</v>
      </c>
      <c r="E44" s="5">
        <f>C44-D44</f>
        <v>16520</v>
      </c>
      <c r="F44" s="6">
        <f>E44*0.15</f>
        <v>2478</v>
      </c>
    </row>
    <row r="45" spans="1:6" ht="19" x14ac:dyDescent="0.2">
      <c r="A45" s="5" t="s">
        <v>85</v>
      </c>
      <c r="B45" s="5">
        <v>102</v>
      </c>
      <c r="C45" s="5">
        <v>205530</v>
      </c>
      <c r="D45" s="5">
        <v>191310</v>
      </c>
      <c r="E45" s="5">
        <f>C45-D45</f>
        <v>14220</v>
      </c>
      <c r="F45" s="6">
        <f>E45*0.15</f>
        <v>2133</v>
      </c>
    </row>
    <row r="46" spans="1:6" ht="19" x14ac:dyDescent="0.2">
      <c r="A46" s="5" t="s">
        <v>85</v>
      </c>
      <c r="B46" s="5">
        <v>103</v>
      </c>
      <c r="C46" s="5">
        <v>82800</v>
      </c>
      <c r="D46" s="5">
        <v>76020</v>
      </c>
      <c r="E46" s="5">
        <f>C46-D46</f>
        <v>6780</v>
      </c>
      <c r="F46" s="6">
        <f>E46*0.15</f>
        <v>1017</v>
      </c>
    </row>
    <row r="47" spans="1:6" ht="19" x14ac:dyDescent="0.2">
      <c r="A47" s="5" t="s">
        <v>85</v>
      </c>
      <c r="B47" s="5">
        <v>104</v>
      </c>
      <c r="C47" s="5">
        <v>28240</v>
      </c>
      <c r="D47" s="5">
        <v>26480</v>
      </c>
      <c r="E47" s="5">
        <f>C47-D47</f>
        <v>1760</v>
      </c>
      <c r="F47" s="6">
        <f>E47*0.15</f>
        <v>264</v>
      </c>
    </row>
    <row r="48" spans="1:6" ht="19" x14ac:dyDescent="0.2">
      <c r="A48" s="5" t="s">
        <v>85</v>
      </c>
      <c r="B48" s="5">
        <v>105</v>
      </c>
      <c r="C48" s="5">
        <v>556840</v>
      </c>
      <c r="D48" s="5">
        <v>529890</v>
      </c>
      <c r="E48" s="5">
        <f>C48-D48</f>
        <v>26950</v>
      </c>
      <c r="F48" s="6">
        <f>E48*0.15</f>
        <v>4042.5</v>
      </c>
    </row>
    <row r="49" spans="1:6" ht="19" x14ac:dyDescent="0.2">
      <c r="A49" s="5" t="s">
        <v>85</v>
      </c>
      <c r="B49" s="5">
        <v>106</v>
      </c>
      <c r="C49" s="5">
        <v>150160</v>
      </c>
      <c r="D49" s="5">
        <v>141550</v>
      </c>
      <c r="E49" s="5">
        <f>C49-D49</f>
        <v>8610</v>
      </c>
      <c r="F49" s="6">
        <f>E49*0.15</f>
        <v>1291.5</v>
      </c>
    </row>
    <row r="50" spans="1:6" ht="19" x14ac:dyDescent="0.2">
      <c r="A50" s="5" t="s">
        <v>85</v>
      </c>
      <c r="B50" s="5">
        <v>107</v>
      </c>
      <c r="C50" s="5">
        <v>81400</v>
      </c>
      <c r="D50" s="5">
        <v>75340</v>
      </c>
      <c r="E50" s="5">
        <f>C50-D50</f>
        <v>6060</v>
      </c>
      <c r="F50" s="6">
        <f>E50*0.15</f>
        <v>909</v>
      </c>
    </row>
    <row r="51" spans="1:6" ht="19" x14ac:dyDescent="0.2">
      <c r="A51" s="5" t="s">
        <v>85</v>
      </c>
      <c r="B51" s="5">
        <v>108</v>
      </c>
      <c r="C51" s="5">
        <v>502340</v>
      </c>
      <c r="D51" s="5">
        <v>469330</v>
      </c>
      <c r="E51" s="5">
        <f>C51-D51</f>
        <v>33010</v>
      </c>
      <c r="F51" s="6">
        <f>E51*0.15</f>
        <v>4951.5</v>
      </c>
    </row>
    <row r="52" spans="1:6" ht="19" x14ac:dyDescent="0.2">
      <c r="A52" s="5" t="s">
        <v>85</v>
      </c>
      <c r="B52" s="5">
        <v>109</v>
      </c>
      <c r="C52" s="5">
        <v>141150</v>
      </c>
      <c r="D52" s="5">
        <v>132810</v>
      </c>
      <c r="E52" s="5">
        <f>C52-D52</f>
        <v>8340</v>
      </c>
      <c r="F52" s="6">
        <f>E52*0.15</f>
        <v>1251</v>
      </c>
    </row>
    <row r="53" spans="1:6" ht="19" x14ac:dyDescent="0.2">
      <c r="A53" s="5" t="s">
        <v>85</v>
      </c>
      <c r="B53" s="5">
        <v>110</v>
      </c>
      <c r="C53" s="5">
        <v>325110</v>
      </c>
      <c r="D53" s="5">
        <v>309690</v>
      </c>
      <c r="E53" s="5">
        <f>C53-D53</f>
        <v>15420</v>
      </c>
      <c r="F53" s="6">
        <f>E53*0.15</f>
        <v>2313</v>
      </c>
    </row>
    <row r="54" spans="1:6" ht="19" x14ac:dyDescent="0.2">
      <c r="A54" s="5" t="s">
        <v>85</v>
      </c>
      <c r="B54" s="5">
        <v>111</v>
      </c>
      <c r="C54" s="5">
        <v>278570</v>
      </c>
      <c r="D54" s="5">
        <v>265900</v>
      </c>
      <c r="E54" s="5">
        <f>C54-D54</f>
        <v>12670</v>
      </c>
      <c r="F54" s="6">
        <f>E54*0.15</f>
        <v>1900.5</v>
      </c>
    </row>
    <row r="55" spans="1:6" ht="19" x14ac:dyDescent="0.2">
      <c r="A55" s="5" t="s">
        <v>85</v>
      </c>
      <c r="B55" s="5">
        <v>201</v>
      </c>
      <c r="C55" s="5">
        <v>221650</v>
      </c>
      <c r="D55" s="5">
        <v>208030</v>
      </c>
      <c r="E55" s="5">
        <f>C55-D55</f>
        <v>13620</v>
      </c>
      <c r="F55" s="6">
        <f>E55*0.15</f>
        <v>2043</v>
      </c>
    </row>
    <row r="56" spans="1:6" ht="19" x14ac:dyDescent="0.2">
      <c r="A56" s="5" t="s">
        <v>85</v>
      </c>
      <c r="B56" s="5">
        <v>202</v>
      </c>
      <c r="C56" s="5">
        <v>300640</v>
      </c>
      <c r="D56" s="5">
        <v>278290</v>
      </c>
      <c r="E56" s="5">
        <f>C56-D56</f>
        <v>22350</v>
      </c>
      <c r="F56" s="6">
        <f>E56*0.15</f>
        <v>3352.5</v>
      </c>
    </row>
    <row r="57" spans="1:6" ht="19" x14ac:dyDescent="0.2">
      <c r="A57" s="5" t="s">
        <v>85</v>
      </c>
      <c r="B57" s="5">
        <v>203</v>
      </c>
      <c r="C57" s="5">
        <v>283680</v>
      </c>
      <c r="D57" s="5">
        <v>269900</v>
      </c>
      <c r="E57" s="5">
        <f>C57-D57</f>
        <v>13780</v>
      </c>
      <c r="F57" s="6">
        <f>E57*0.15</f>
        <v>2067</v>
      </c>
    </row>
    <row r="58" spans="1:6" ht="19" x14ac:dyDescent="0.2">
      <c r="A58" s="5" t="s">
        <v>85</v>
      </c>
      <c r="B58" s="5">
        <v>204</v>
      </c>
      <c r="C58" s="5">
        <v>65870</v>
      </c>
      <c r="D58" s="5">
        <v>65180</v>
      </c>
      <c r="E58" s="5">
        <f>C58-D58</f>
        <v>690</v>
      </c>
      <c r="F58" s="6">
        <f>E58*0.15</f>
        <v>103.5</v>
      </c>
    </row>
    <row r="59" spans="1:6" ht="19" x14ac:dyDescent="0.2">
      <c r="A59" s="5" t="s">
        <v>85</v>
      </c>
      <c r="B59" s="5">
        <v>205</v>
      </c>
      <c r="C59" s="5">
        <v>238210</v>
      </c>
      <c r="D59" s="5">
        <v>219370</v>
      </c>
      <c r="E59" s="5">
        <f>C59-D59</f>
        <v>18840</v>
      </c>
      <c r="F59" s="6">
        <f>E59*0.15</f>
        <v>2826</v>
      </c>
    </row>
    <row r="60" spans="1:6" ht="19" x14ac:dyDescent="0.2">
      <c r="A60" s="5" t="s">
        <v>85</v>
      </c>
      <c r="B60" s="5">
        <v>206</v>
      </c>
      <c r="C60" s="5">
        <v>142980</v>
      </c>
      <c r="D60" s="5">
        <v>139880</v>
      </c>
      <c r="E60" s="5">
        <f>C60-D60</f>
        <v>3100</v>
      </c>
      <c r="F60" s="6">
        <f>E60*0.15</f>
        <v>465</v>
      </c>
    </row>
    <row r="61" spans="1:6" ht="19" x14ac:dyDescent="0.2">
      <c r="A61" s="5" t="s">
        <v>85</v>
      </c>
      <c r="B61" s="5">
        <v>207</v>
      </c>
      <c r="C61" s="5">
        <v>129610</v>
      </c>
      <c r="D61" s="5">
        <v>123440</v>
      </c>
      <c r="E61" s="5">
        <f>C61-D61</f>
        <v>6170</v>
      </c>
      <c r="F61" s="6">
        <f>E61*0.15</f>
        <v>925.5</v>
      </c>
    </row>
    <row r="62" spans="1:6" ht="19" x14ac:dyDescent="0.2">
      <c r="A62" s="5" t="s">
        <v>85</v>
      </c>
      <c r="B62" s="5">
        <v>208</v>
      </c>
      <c r="C62" s="5">
        <v>50520</v>
      </c>
      <c r="D62" s="5">
        <v>48270</v>
      </c>
      <c r="E62" s="5">
        <f>C62-D62</f>
        <v>2250</v>
      </c>
      <c r="F62" s="6">
        <f>E62*0.15</f>
        <v>337.5</v>
      </c>
    </row>
    <row r="63" spans="1:6" ht="19" x14ac:dyDescent="0.2">
      <c r="A63" s="5" t="s">
        <v>85</v>
      </c>
      <c r="B63" s="5">
        <v>209</v>
      </c>
      <c r="C63" s="5">
        <v>250870</v>
      </c>
      <c r="D63" s="5">
        <v>239080</v>
      </c>
      <c r="E63" s="5">
        <f>C63-D63</f>
        <v>11790</v>
      </c>
      <c r="F63" s="6">
        <f>E63*0.15</f>
        <v>1768.5</v>
      </c>
    </row>
    <row r="64" spans="1:6" ht="19" x14ac:dyDescent="0.2">
      <c r="A64" s="5" t="s">
        <v>85</v>
      </c>
      <c r="B64" s="5">
        <v>210</v>
      </c>
      <c r="C64" s="5">
        <v>264680</v>
      </c>
      <c r="D64" s="5">
        <v>258920</v>
      </c>
      <c r="E64" s="5">
        <f>C64-D64</f>
        <v>5760</v>
      </c>
      <c r="F64" s="6">
        <f>E64*0.15</f>
        <v>864</v>
      </c>
    </row>
    <row r="65" spans="1:6" ht="19" x14ac:dyDescent="0.2">
      <c r="A65" s="5" t="s">
        <v>85</v>
      </c>
      <c r="B65" s="5">
        <v>211</v>
      </c>
      <c r="C65" s="5">
        <v>364200</v>
      </c>
      <c r="D65" s="5">
        <v>342600</v>
      </c>
      <c r="E65" s="5">
        <f>C65-D65</f>
        <v>21600</v>
      </c>
      <c r="F65" s="6">
        <f>E65*0.15</f>
        <v>3240</v>
      </c>
    </row>
    <row r="66" spans="1:6" ht="19" x14ac:dyDescent="0.2">
      <c r="A66" s="5" t="s">
        <v>85</v>
      </c>
      <c r="B66" s="5">
        <v>301</v>
      </c>
      <c r="C66" s="5">
        <v>533790</v>
      </c>
      <c r="D66" s="5">
        <v>507770</v>
      </c>
      <c r="E66" s="5">
        <f>C66-D66</f>
        <v>26020</v>
      </c>
      <c r="F66" s="6">
        <f>E66*0.15</f>
        <v>3903</v>
      </c>
    </row>
    <row r="67" spans="1:6" ht="19" x14ac:dyDescent="0.2">
      <c r="A67" s="5" t="s">
        <v>85</v>
      </c>
      <c r="B67" s="5">
        <v>302</v>
      </c>
      <c r="C67" s="5">
        <v>177570</v>
      </c>
      <c r="D67" s="5">
        <v>169440</v>
      </c>
      <c r="E67" s="5">
        <f>C67-D67</f>
        <v>8130</v>
      </c>
      <c r="F67" s="6">
        <f>E67*0.15</f>
        <v>1219.5</v>
      </c>
    </row>
    <row r="68" spans="1:6" ht="19" x14ac:dyDescent="0.2">
      <c r="A68" s="5" t="s">
        <v>85</v>
      </c>
      <c r="B68" s="5">
        <v>303</v>
      </c>
      <c r="C68" s="5">
        <v>101100</v>
      </c>
      <c r="D68" s="5">
        <v>101100</v>
      </c>
      <c r="E68" s="5">
        <f>C68-D68</f>
        <v>0</v>
      </c>
      <c r="F68" s="6">
        <f>E68*0.15</f>
        <v>0</v>
      </c>
    </row>
    <row r="69" spans="1:6" ht="19" x14ac:dyDescent="0.2">
      <c r="A69" s="5" t="s">
        <v>85</v>
      </c>
      <c r="B69" s="5">
        <v>304</v>
      </c>
      <c r="C69" s="5">
        <v>119720</v>
      </c>
      <c r="D69" s="5">
        <v>111280</v>
      </c>
      <c r="E69" s="5">
        <f>C69-D69</f>
        <v>8440</v>
      </c>
      <c r="F69" s="6">
        <f>E69*0.15</f>
        <v>1266</v>
      </c>
    </row>
    <row r="70" spans="1:6" ht="19" x14ac:dyDescent="0.2">
      <c r="A70" s="5" t="s">
        <v>85</v>
      </c>
      <c r="B70" s="5">
        <v>305</v>
      </c>
      <c r="C70" s="5">
        <v>302860</v>
      </c>
      <c r="D70" s="5">
        <v>289220</v>
      </c>
      <c r="E70" s="5">
        <f>C70-D70</f>
        <v>13640</v>
      </c>
      <c r="F70" s="6">
        <f>E70*0.15</f>
        <v>2046</v>
      </c>
    </row>
    <row r="71" spans="1:6" ht="19" x14ac:dyDescent="0.2">
      <c r="A71" s="5" t="s">
        <v>85</v>
      </c>
      <c r="B71" s="5">
        <v>306</v>
      </c>
      <c r="C71" s="5">
        <v>289780</v>
      </c>
      <c r="D71" s="5">
        <v>275930</v>
      </c>
      <c r="E71" s="5">
        <f>C71-D71</f>
        <v>13850</v>
      </c>
      <c r="F71" s="6">
        <f>E71*0.15</f>
        <v>2077.5</v>
      </c>
    </row>
    <row r="72" spans="1:6" ht="19" x14ac:dyDescent="0.2">
      <c r="A72" s="5" t="s">
        <v>85</v>
      </c>
      <c r="B72" s="5">
        <v>307</v>
      </c>
      <c r="C72" s="5">
        <v>340170</v>
      </c>
      <c r="D72" s="5">
        <v>325770</v>
      </c>
      <c r="E72" s="5">
        <f>C72-D72</f>
        <v>14400</v>
      </c>
      <c r="F72" s="6">
        <f>E72*0.15</f>
        <v>2160</v>
      </c>
    </row>
    <row r="73" spans="1:6" ht="19" x14ac:dyDescent="0.2">
      <c r="A73" s="5" t="s">
        <v>85</v>
      </c>
      <c r="B73" s="5">
        <v>308</v>
      </c>
      <c r="C73" s="5">
        <v>317420</v>
      </c>
      <c r="D73" s="5">
        <v>290810</v>
      </c>
      <c r="E73" s="5">
        <f>C73-D73</f>
        <v>26610</v>
      </c>
      <c r="F73" s="6">
        <f>E73*0.15</f>
        <v>3991.5</v>
      </c>
    </row>
    <row r="74" spans="1:6" ht="19" x14ac:dyDescent="0.2">
      <c r="A74" s="5" t="s">
        <v>85</v>
      </c>
      <c r="B74" s="5">
        <v>309</v>
      </c>
      <c r="C74" s="5">
        <v>87970</v>
      </c>
      <c r="D74" s="5">
        <v>83850</v>
      </c>
      <c r="E74" s="5">
        <f>C74-D74</f>
        <v>4120</v>
      </c>
      <c r="F74" s="6">
        <f>E74*0.15</f>
        <v>618</v>
      </c>
    </row>
    <row r="75" spans="1:6" ht="19" x14ac:dyDescent="0.2">
      <c r="A75" s="5" t="s">
        <v>85</v>
      </c>
      <c r="B75" s="5">
        <v>310</v>
      </c>
      <c r="C75" s="5">
        <v>163280</v>
      </c>
      <c r="D75" s="5">
        <v>155740</v>
      </c>
      <c r="E75" s="5">
        <f>C75-D75</f>
        <v>7540</v>
      </c>
      <c r="F75" s="6">
        <f>E75*0.15</f>
        <v>1131</v>
      </c>
    </row>
    <row r="76" spans="1:6" ht="19" x14ac:dyDescent="0.2">
      <c r="A76" s="5" t="s">
        <v>85</v>
      </c>
      <c r="B76" s="5">
        <v>311</v>
      </c>
      <c r="C76" s="5">
        <v>211290</v>
      </c>
      <c r="D76" s="5">
        <v>198620</v>
      </c>
      <c r="E76" s="5">
        <f>C76-D76</f>
        <v>12670</v>
      </c>
      <c r="F76" s="6">
        <f>E76*0.15</f>
        <v>1900.5</v>
      </c>
    </row>
    <row r="77" spans="1:6" ht="19" x14ac:dyDescent="0.2">
      <c r="A77" s="7" t="s">
        <v>85</v>
      </c>
      <c r="B77" s="7" t="s">
        <v>86</v>
      </c>
      <c r="C77" s="5">
        <v>165480</v>
      </c>
      <c r="D77" s="5">
        <v>162100</v>
      </c>
      <c r="E77" s="5">
        <f>C77-D77</f>
        <v>3380</v>
      </c>
      <c r="F77" s="8">
        <f>E77*0.15</f>
        <v>507</v>
      </c>
    </row>
    <row r="78" spans="1:6" ht="21" x14ac:dyDescent="0.25">
      <c r="A78" s="4"/>
      <c r="B78" s="4"/>
      <c r="C78" s="4"/>
      <c r="D78" s="4"/>
      <c r="E78" s="5">
        <f>SUM(E3:E77)</f>
        <v>909150</v>
      </c>
      <c r="F78" s="8">
        <f>SUM(F3:F77)</f>
        <v>136372.5</v>
      </c>
    </row>
  </sheetData>
  <mergeCells count="3">
    <mergeCell ref="A1:F1"/>
    <mergeCell ref="A78:D78"/>
    <mergeCell ref="I5:L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Water Charges March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660</cp:lastModifiedBy>
  <dcterms:created xsi:type="dcterms:W3CDTF">2024-06-01T05:27:24Z</dcterms:created>
  <dcterms:modified xsi:type="dcterms:W3CDTF">2026-04-03T05:42:28Z</dcterms:modified>
</cp:coreProperties>
</file>